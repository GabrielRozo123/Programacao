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Proposta" sheetId="1" state="visible" r:id="rId1"/>
    <sheet name="Cronograma" sheetId="2" state="visible" r:id="rId2"/>
    <sheet name="Tabela HH" sheetId="3" state="visible" r:id="rId3"/>
  </sheets>
  <definedNames>
    <definedName name="SimNao">Cronograma!$R$2:$R$3</definedName>
    <definedName name="_xlnm.Print_Area" localSheetId="0">'Proposta'!$B$1:$G$124</definedName>
  </definedNames>
  <calcPr calcId="191029" fullCalcOnLoad="1"/>
</workbook>
</file>

<file path=xl/styles.xml><?xml version="1.0" encoding="utf-8"?>
<styleSheet xmlns="http://schemas.openxmlformats.org/spreadsheetml/2006/main">
  <numFmts count="3">
    <numFmt numFmtId="164" formatCode="_-* #,##0_-;\-* #,##0_-;_-* &quot;-&quot;??_-;_-@_-"/>
    <numFmt numFmtId="165" formatCode="_-&quot;R$&quot;\ * #,##0.00_-;\-&quot;R$&quot;\ * #,##0.00_-;_-&quot;R$&quot;\ * &quot;-&quot;??_-;_-@_-"/>
    <numFmt numFmtId="166" formatCode="0.0%"/>
  </numFmts>
  <fonts count="26">
    <font>
      <name val="Arial"/>
      <sz val="10"/>
    </font>
    <font>
      <name val="Calibri"/>
      <family val="2"/>
      <color theme="1"/>
      <sz val="11"/>
      <scheme val="minor"/>
    </font>
    <font>
      <name val="Calibri"/>
      <family val="2"/>
      <color theme="1"/>
      <sz val="11"/>
      <scheme val="minor"/>
    </font>
    <font>
      <name val="Calibri"/>
      <family val="2"/>
      <b val="1"/>
      <color rgb="FF3F3F3F"/>
      <sz val="11"/>
      <scheme val="minor"/>
    </font>
    <font>
      <name val="Arial"/>
      <family val="2"/>
      <sz val="10"/>
    </font>
    <font>
      <name val="Arial"/>
      <family val="2"/>
      <sz val="10"/>
    </font>
    <font>
      <name val="Calibri"/>
      <family val="2"/>
      <sz val="10"/>
      <scheme val="minor"/>
    </font>
    <font>
      <name val="Calibri"/>
      <family val="2"/>
      <sz val="9"/>
      <scheme val="minor"/>
    </font>
    <font>
      <name val="Calibri"/>
      <family val="2"/>
      <b val="1"/>
      <sz val="10"/>
      <scheme val="minor"/>
    </font>
    <font>
      <name val="Calibri"/>
      <family val="2"/>
      <b val="1"/>
      <i val="1"/>
      <sz val="10"/>
      <scheme val="minor"/>
    </font>
    <font>
      <name val="Calibri"/>
      <family val="2"/>
      <i val="1"/>
      <sz val="10"/>
      <scheme val="minor"/>
    </font>
    <font>
      <name val="Arial"/>
      <family val="2"/>
      <color theme="10"/>
      <sz val="10"/>
      <u val="single"/>
    </font>
    <font>
      <name val="Calibri"/>
      <family val="2"/>
      <color theme="0" tint="-0.499984740745262"/>
      <sz val="10"/>
      <scheme val="minor"/>
    </font>
    <font>
      <name val="Calibri"/>
      <family val="2"/>
      <color theme="10"/>
      <sz val="10"/>
      <scheme val="minor"/>
    </font>
    <font>
      <name val="Calibri"/>
      <family val="2"/>
      <b val="1"/>
      <sz val="10"/>
      <u val="single"/>
      <scheme val="minor"/>
    </font>
    <font>
      <name val="Calibri"/>
      <family val="2"/>
      <b val="1"/>
      <sz val="18"/>
      <scheme val="minor"/>
    </font>
    <font>
      <name val="Calibri"/>
      <family val="2"/>
      <i val="1"/>
      <color theme="1"/>
      <sz val="11"/>
      <scheme val="minor"/>
    </font>
    <font>
      <name val="Arial"/>
      <family val="2"/>
      <b val="1"/>
      <sz val="10"/>
    </font>
    <font>
      <name val="Calibri"/>
      <family val="2"/>
      <b val="1"/>
      <i val="1"/>
      <color theme="1"/>
      <sz val="11"/>
      <scheme val="minor"/>
    </font>
    <font>
      <name val="Calibri"/>
      <family val="2"/>
      <b val="1"/>
      <color theme="0"/>
      <sz val="11"/>
      <scheme val="minor"/>
    </font>
    <font>
      <name val="Calibri"/>
      <family val="2"/>
      <color theme="0"/>
      <sz val="11"/>
      <scheme val="minor"/>
    </font>
    <font>
      <name val="Calibri"/>
      <family val="2"/>
      <b val="1"/>
      <i val="1"/>
      <color theme="0"/>
      <sz val="11"/>
      <scheme val="minor"/>
    </font>
    <font>
      <name val="Calibri"/>
      <family val="2"/>
      <b val="1"/>
      <sz val="11"/>
      <scheme val="minor"/>
    </font>
    <font>
      <name val="Arial"/>
      <family val="2"/>
      <sz val="10"/>
    </font>
    <font>
      <name val="Calibri"/>
      <family val="2"/>
      <b val="1"/>
      <color theme="0"/>
      <sz val="12"/>
      <scheme val="minor"/>
    </font>
    <font>
      <name val="Calibri"/>
      <family val="2"/>
      <b val="1"/>
      <color theme="0"/>
      <sz val="10"/>
      <scheme val="minor"/>
    </font>
  </fonts>
  <fills count="8">
    <fill>
      <patternFill/>
    </fill>
    <fill>
      <patternFill patternType="gray125"/>
    </fill>
    <fill>
      <patternFill patternType="solid">
        <fgColor indexed="9"/>
        <bgColor indexed="64"/>
      </patternFill>
    </fill>
    <fill>
      <patternFill patternType="solid">
        <fgColor theme="0"/>
        <bgColor indexed="64"/>
      </patternFill>
    </fill>
    <fill>
      <patternFill patternType="solid">
        <fgColor rgb="FFF2F2F2"/>
      </patternFill>
    </fill>
    <fill>
      <patternFill patternType="solid">
        <fgColor rgb="FF242834"/>
        <bgColor indexed="64"/>
      </patternFill>
    </fill>
    <fill>
      <patternFill patternType="solid">
        <fgColor rgb="FF01436C"/>
        <bgColor indexed="64"/>
      </patternFill>
    </fill>
    <fill>
      <patternFill patternType="solid">
        <fgColor rgb="FF02B1FB"/>
        <bgColor indexed="64"/>
      </patternFill>
    </fill>
  </fills>
  <borders count="43">
    <border>
      <left/>
      <right/>
      <top/>
      <bottom/>
      <diagonal/>
    </border>
    <border>
      <left style="thin">
        <color auto="1"/>
      </left>
      <right style="thin">
        <color auto="1"/>
      </right>
      <top/>
      <bottom/>
      <diagonal/>
    </border>
    <border>
      <left style="thin">
        <color auto="1"/>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style="thin">
        <color indexed="64"/>
      </left>
      <right style="thin">
        <color indexed="64"/>
      </right>
      <top style="thin">
        <color indexed="64"/>
      </top>
      <bottom/>
      <diagonal/>
    </border>
    <border>
      <left/>
      <right style="thin">
        <color auto="1"/>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rgb="FF3F3F3F"/>
      </right>
      <top style="thin">
        <color indexed="64"/>
      </top>
      <bottom style="thin">
        <color indexed="64"/>
      </bottom>
      <diagonal/>
    </border>
    <border>
      <left style="thin">
        <color rgb="FF3F3F3F"/>
      </left>
      <right style="thin">
        <color rgb="FF3F3F3F"/>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rgb="FF3F3F3F"/>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ck">
        <color indexed="64"/>
      </top>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right style="medium">
        <color indexed="64"/>
      </right>
      <top style="thick">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1436C"/>
      </left>
      <right style="medium">
        <color rgb="FF01436C"/>
      </right>
      <top style="medium">
        <color rgb="FF01436C"/>
      </top>
      <bottom style="medium">
        <color rgb="FF01436C"/>
      </bottom>
      <diagonal/>
    </border>
    <border>
      <left style="thin">
        <color indexed="64"/>
      </left>
      <right/>
      <top/>
      <bottom/>
      <diagonal/>
    </border>
    <border>
      <left style="thin">
        <color indexed="64"/>
      </left>
      <right style="thin">
        <color indexed="64"/>
      </right>
      <top/>
      <bottom/>
      <diagonal/>
    </border>
    <border>
      <left style="thin">
        <color indexed="64"/>
      </left>
      <right style="thin">
        <color rgb="FF3F3F3F"/>
      </right>
      <top style="thin">
        <color indexed="64"/>
      </top>
      <bottom style="thin">
        <color indexed="64"/>
      </bottom>
      <diagonal/>
    </border>
    <border>
      <left/>
      <right/>
      <top style="thin">
        <color indexed="64"/>
      </top>
      <bottom/>
      <diagonal/>
    </border>
    <border>
      <left/>
      <right style="thin">
        <color rgb="FF3F3F3F"/>
      </right>
      <top style="thin">
        <color indexed="64"/>
      </top>
      <bottom/>
      <diagonal/>
    </border>
    <border>
      <left style="thin">
        <color indexed="64"/>
      </left>
      <right style="thin">
        <color auto="1"/>
      </right>
      <top style="thin">
        <color indexed="64"/>
      </top>
      <bottom/>
      <diagonal/>
    </border>
    <border>
      <left/>
      <right style="thin">
        <color auto="1"/>
      </right>
      <top style="thin">
        <color indexed="64"/>
      </top>
      <bottom/>
      <diagonal/>
    </border>
    <border>
      <left/>
      <right style="thin">
        <color indexed="64"/>
      </right>
      <top/>
      <bottom/>
      <diagonal/>
    </border>
    <border>
      <left/>
      <right/>
      <top style="thin">
        <color rgb="FF3F3F3F"/>
      </top>
      <bottom/>
      <diagonal/>
    </border>
    <border>
      <left/>
      <right style="thin">
        <color rgb="FF3F3F3F"/>
      </right>
      <top style="thin">
        <color rgb="FF3F3F3F"/>
      </top>
      <bottom/>
      <diagonal/>
    </border>
  </borders>
  <cellStyleXfs count="11">
    <xf numFmtId="0" fontId="0" fillId="0" borderId="0"/>
    <xf numFmtId="0" fontId="3" fillId="4" borderId="3"/>
    <xf numFmtId="44" fontId="23" fillId="0" borderId="0"/>
    <xf numFmtId="43" fontId="23" fillId="0" borderId="0"/>
    <xf numFmtId="9" fontId="23" fillId="0" borderId="0"/>
    <xf numFmtId="43" fontId="23" fillId="0" borderId="0"/>
    <xf numFmtId="0" fontId="11" fillId="0" borderId="0"/>
    <xf numFmtId="0" fontId="2" fillId="0" borderId="0"/>
    <xf numFmtId="44" fontId="2" fillId="0" borderId="0"/>
    <xf numFmtId="9" fontId="2" fillId="0" borderId="0"/>
    <xf numFmtId="9" fontId="23" fillId="0" borderId="0"/>
  </cellStyleXfs>
  <cellXfs count="144">
    <xf numFmtId="0" fontId="0" fillId="0" borderId="0" pivotButton="0" quotePrefix="0" xfId="0"/>
    <xf numFmtId="0" fontId="6" fillId="0" borderId="0" pivotButton="0" quotePrefix="0" xfId="0"/>
    <xf numFmtId="0" fontId="8" fillId="2" borderId="0" applyAlignment="1" pivotButton="0" quotePrefix="0" xfId="0">
      <alignment horizontal="left"/>
    </xf>
    <xf numFmtId="0" fontId="8" fillId="2" borderId="0" applyAlignment="1" pivotButton="0" quotePrefix="0" xfId="0">
      <alignment horizontal="center"/>
    </xf>
    <xf numFmtId="0" fontId="9" fillId="3" borderId="0" applyAlignment="1" pivotButton="0" quotePrefix="0" xfId="0">
      <alignment horizontal="left" wrapText="1"/>
    </xf>
    <xf numFmtId="0" fontId="10" fillId="2" borderId="0" applyAlignment="1" pivotButton="0" quotePrefix="0" xfId="0">
      <alignment horizontal="left" wrapText="1"/>
    </xf>
    <xf numFmtId="0" fontId="6" fillId="0" borderId="0" applyAlignment="1" pivotButton="0" quotePrefix="0" xfId="0">
      <alignment horizont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8" fillId="3" borderId="0" pivotButton="0" quotePrefix="0" xfId="0"/>
    <xf numFmtId="0" fontId="6" fillId="3" borderId="0" pivotButton="0" quotePrefix="0" xfId="0"/>
    <xf numFmtId="0" fontId="6" fillId="3" borderId="0" applyAlignment="1" pivotButton="0" quotePrefix="0" xfId="0">
      <alignment horizontal="center"/>
    </xf>
    <xf numFmtId="3" fontId="6" fillId="0" borderId="0" applyAlignment="1" pivotButton="0" quotePrefix="0" xfId="0">
      <alignment horizontal="center"/>
    </xf>
    <xf numFmtId="164" fontId="6" fillId="0" borderId="0" applyAlignment="1" pivotButton="0" quotePrefix="0" xfId="3">
      <alignment horizontal="center"/>
    </xf>
    <xf numFmtId="0" fontId="8" fillId="0" borderId="0" applyAlignment="1" pivotButton="0" quotePrefix="0" xfId="0">
      <alignment wrapText="1"/>
    </xf>
    <xf numFmtId="0" fontId="8" fillId="0" borderId="0" applyAlignment="1" pivotButton="0" quotePrefix="0" xfId="0">
      <alignment horizontal="center" wrapText="1"/>
    </xf>
    <xf numFmtId="0" fontId="7" fillId="0" borderId="0" pivotButton="0" quotePrefix="0" xfId="0"/>
    <xf numFmtId="165" fontId="6" fillId="0" borderId="0" applyAlignment="1" pivotButton="0" quotePrefix="0" xfId="2">
      <alignment vertical="center"/>
    </xf>
    <xf numFmtId="165" fontId="6" fillId="0" borderId="0" pivotButton="0" quotePrefix="0" xfId="2"/>
    <xf numFmtId="0" fontId="8" fillId="0" borderId="2" applyAlignment="1" pivotButton="0" quotePrefix="1" xfId="0">
      <alignment vertical="center" wrapText="1"/>
    </xf>
    <xf numFmtId="49" fontId="6" fillId="0" borderId="8" applyAlignment="1" pivotButton="0" quotePrefix="1" xfId="0">
      <alignment horizontal="left" vertical="center" wrapText="1"/>
    </xf>
    <xf numFmtId="0" fontId="6" fillId="0" borderId="1" applyAlignment="1" pivotButton="0" quotePrefix="0" xfId="0">
      <alignment horizontal="center" vertical="center"/>
    </xf>
    <xf numFmtId="0" fontId="6" fillId="0" borderId="2" applyAlignment="1" pivotButton="0" quotePrefix="0" xfId="0">
      <alignment horizontal="center" vertical="center"/>
    </xf>
    <xf numFmtId="165" fontId="6" fillId="0" borderId="1" applyAlignment="1" pivotButton="0" quotePrefix="0" xfId="2">
      <alignment horizontal="center" vertical="center"/>
    </xf>
    <xf numFmtId="165" fontId="6" fillId="0" borderId="8" applyAlignment="1" pivotButton="0" quotePrefix="0" xfId="2">
      <alignment horizontal="center" vertical="center"/>
    </xf>
    <xf numFmtId="49" fontId="6" fillId="0" borderId="0" applyAlignment="1" pivotButton="0" quotePrefix="1" xfId="0">
      <alignment horizontal="left" vertical="center" wrapText="1"/>
    </xf>
    <xf numFmtId="0" fontId="6" fillId="0" borderId="0" applyAlignment="1" pivotButton="0" quotePrefix="0" xfId="0">
      <alignment horizontal="right" vertical="center"/>
    </xf>
    <xf numFmtId="165" fontId="6" fillId="0" borderId="0" applyAlignment="1" pivotButton="0" quotePrefix="0" xfId="2">
      <alignment horizontal="center" vertical="center"/>
    </xf>
    <xf numFmtId="0" fontId="6" fillId="3" borderId="0" applyAlignment="1" pivotButton="0" quotePrefix="0" xfId="0">
      <alignment horizontal="left"/>
    </xf>
    <xf numFmtId="0" fontId="12" fillId="0" borderId="0" applyAlignment="1" pivotButton="0" quotePrefix="0" xfId="0">
      <alignment horizontal="left"/>
    </xf>
    <xf numFmtId="0" fontId="12" fillId="3" borderId="0" applyAlignment="1" pivotButton="0" quotePrefix="0" xfId="0">
      <alignment horizontal="left"/>
    </xf>
    <xf numFmtId="0" fontId="12" fillId="3" borderId="0" applyAlignment="1" pivotButton="0" quotePrefix="0" xfId="0">
      <alignment horizontal="left" wrapText="1"/>
    </xf>
    <xf numFmtId="0" fontId="6" fillId="3" borderId="0" applyAlignment="1" pivotButton="0" quotePrefix="1" xfId="0">
      <alignment horizontal="left"/>
    </xf>
    <xf numFmtId="0" fontId="14" fillId="3" borderId="0" pivotButton="0" quotePrefix="0" xfId="0"/>
    <xf numFmtId="0" fontId="6" fillId="0" borderId="2" applyAlignment="1" pivotButton="0" quotePrefix="1" xfId="0">
      <alignment horizontal="left" vertical="center" wrapText="1"/>
    </xf>
    <xf numFmtId="0" fontId="6" fillId="0" borderId="2" applyAlignment="1" pivotButton="0" quotePrefix="1" xfId="0">
      <alignment horizontal="left" vertical="center"/>
    </xf>
    <xf numFmtId="165" fontId="6" fillId="0" borderId="8" applyAlignment="1" pivotButton="0" quotePrefix="0" xfId="2">
      <alignment horizontal="left" vertical="center"/>
    </xf>
    <xf numFmtId="165" fontId="6" fillId="0" borderId="0" applyAlignment="1" pivotButton="0" quotePrefix="0" xfId="2">
      <alignment horizontal="left" vertical="center"/>
    </xf>
    <xf numFmtId="0" fontId="6" fillId="0" borderId="16" applyAlignment="1" pivotButton="0" quotePrefix="1" xfId="0">
      <alignment horizontal="left" vertical="center" wrapText="1"/>
    </xf>
    <xf numFmtId="0" fontId="6" fillId="0" borderId="17" applyAlignment="1" pivotButton="0" quotePrefix="1" xfId="0">
      <alignment horizontal="left" vertical="center" wrapText="1"/>
    </xf>
    <xf numFmtId="0" fontId="6" fillId="0" borderId="18" applyAlignment="1" pivotButton="0" quotePrefix="1" xfId="0">
      <alignment horizontal="left" vertical="center" wrapText="1"/>
    </xf>
    <xf numFmtId="0" fontId="6" fillId="0" borderId="8" applyAlignment="1" pivotButton="0" quotePrefix="1" xfId="0">
      <alignment horizontal="left" vertical="center" wrapText="1"/>
    </xf>
    <xf numFmtId="0" fontId="6" fillId="0" borderId="2" applyAlignment="1" pivotButton="0" quotePrefix="1" xfId="0">
      <alignment horizontal="center" vertical="center"/>
    </xf>
    <xf numFmtId="0" fontId="6" fillId="0" borderId="8" applyAlignment="1" pivotButton="0" quotePrefix="1" xfId="0">
      <alignment horizontal="center" vertical="center"/>
    </xf>
    <xf numFmtId="0" fontId="4" fillId="0" borderId="0" pivotButton="0" quotePrefix="0" xfId="0"/>
    <xf numFmtId="0" fontId="17" fillId="0" borderId="0" pivotButton="0" quotePrefix="0" xfId="0"/>
    <xf numFmtId="165" fontId="0" fillId="0" borderId="0" pivotButton="0" quotePrefix="0" xfId="2"/>
    <xf numFmtId="0" fontId="1" fillId="0" borderId="0" applyAlignment="1" pivotButton="0" quotePrefix="0" xfId="7">
      <alignment horizontal="left" indent="1"/>
    </xf>
    <xf numFmtId="0" fontId="0" fillId="0" borderId="0" applyAlignment="1" pivotButton="0" quotePrefix="0" xfId="0">
      <alignment vertical="center"/>
    </xf>
    <xf numFmtId="0" fontId="17" fillId="0" borderId="0" applyAlignment="1" pivotButton="0" quotePrefix="0" xfId="0">
      <alignment vertical="center"/>
    </xf>
    <xf numFmtId="165" fontId="0" fillId="0" borderId="0" applyAlignment="1" pivotButton="0" quotePrefix="0" xfId="2">
      <alignment vertical="center"/>
    </xf>
    <xf numFmtId="165" fontId="0" fillId="0" borderId="0" pivotButton="0" quotePrefix="0" xfId="0"/>
    <xf numFmtId="0" fontId="2" fillId="3" borderId="19" pivotButton="0" quotePrefix="0" xfId="7"/>
    <xf numFmtId="0" fontId="2" fillId="3" borderId="22" pivotButton="0" quotePrefix="0" xfId="7"/>
    <xf numFmtId="0" fontId="16" fillId="3" borderId="23" applyAlignment="1" pivotButton="0" quotePrefix="0" xfId="7">
      <alignment horizontal="left" vertical="center" indent="1"/>
    </xf>
    <xf numFmtId="0" fontId="2" fillId="3" borderId="24" pivotButton="0" quotePrefix="0" xfId="7"/>
    <xf numFmtId="0" fontId="19" fillId="5" borderId="26" applyAlignment="1" pivotButton="0" quotePrefix="0" xfId="7">
      <alignment horizontal="center"/>
    </xf>
    <xf numFmtId="0" fontId="19" fillId="5" borderId="27" applyAlignment="1" pivotButton="0" quotePrefix="0" xfId="7">
      <alignment horizontal="center" vertical="center"/>
    </xf>
    <xf numFmtId="0" fontId="19" fillId="5" borderId="20" applyAlignment="1" pivotButton="0" quotePrefix="0" xfId="7">
      <alignment horizontal="center" vertical="center"/>
    </xf>
    <xf numFmtId="0" fontId="19" fillId="5" borderId="21" applyAlignment="1" pivotButton="0" quotePrefix="0" xfId="7">
      <alignment horizontal="center" vertical="center"/>
    </xf>
    <xf numFmtId="0" fontId="2" fillId="6" borderId="30" pivotButton="0" quotePrefix="0" xfId="7"/>
    <xf numFmtId="0" fontId="2" fillId="6" borderId="31" pivotButton="0" quotePrefix="0" xfId="7"/>
    <xf numFmtId="0" fontId="16" fillId="3" borderId="26" applyAlignment="1" pivotButton="0" quotePrefix="0" xfId="7">
      <alignment horizontal="left" vertical="center" indent="1"/>
    </xf>
    <xf numFmtId="0" fontId="16" fillId="3" borderId="25" applyAlignment="1" pivotButton="0" quotePrefix="0" xfId="7">
      <alignment horizontal="left" vertical="center" indent="1"/>
    </xf>
    <xf numFmtId="0" fontId="2" fillId="3" borderId="27" pivotButton="0" quotePrefix="0" xfId="7"/>
    <xf numFmtId="0" fontId="21" fillId="7" borderId="28" applyAlignment="1" pivotButton="0" quotePrefix="0" xfId="7">
      <alignment horizontal="left" vertical="center" indent="1"/>
    </xf>
    <xf numFmtId="0" fontId="18" fillId="7" borderId="29" applyAlignment="1" pivotButton="0" quotePrefix="0" xfId="7">
      <alignment horizontal="left" vertical="center" indent="1"/>
    </xf>
    <xf numFmtId="0" fontId="20" fillId="7" borderId="29" pivotButton="0" quotePrefix="0" xfId="7"/>
    <xf numFmtId="0" fontId="21" fillId="7" borderId="28" applyAlignment="1" pivotButton="0" quotePrefix="0" xfId="7">
      <alignment horizontal="left" indent="1"/>
    </xf>
    <xf numFmtId="0" fontId="22" fillId="3" borderId="32" pivotButton="0" quotePrefix="1" xfId="7"/>
    <xf numFmtId="0" fontId="17" fillId="0" borderId="0" applyAlignment="1" pivotButton="0" quotePrefix="0" xfId="0">
      <alignment horizontal="center" vertical="center"/>
    </xf>
    <xf numFmtId="0" fontId="16" fillId="3" borderId="0" applyAlignment="1" pivotButton="0" quotePrefix="0" xfId="7">
      <alignment horizontal="left" vertical="center" indent="1"/>
    </xf>
    <xf numFmtId="0" fontId="2" fillId="3" borderId="0" pivotButton="0" quotePrefix="0" xfId="7"/>
    <xf numFmtId="9" fontId="0" fillId="0" borderId="0" pivotButton="0" quotePrefix="0" xfId="0"/>
    <xf numFmtId="166" fontId="0" fillId="0" borderId="0" pivotButton="0" quotePrefix="0" xfId="10"/>
    <xf numFmtId="0" fontId="25" fillId="5" borderId="12" applyAlignment="1" pivotButton="0" quotePrefix="0" xfId="1">
      <alignment horizontal="center" vertical="center"/>
    </xf>
    <xf numFmtId="0" fontId="25" fillId="5" borderId="15" applyAlignment="1" pivotButton="0" quotePrefix="0" xfId="1">
      <alignment horizontal="center" vertical="center"/>
    </xf>
    <xf numFmtId="0" fontId="25" fillId="5" borderId="13" applyAlignment="1" pivotButton="0" quotePrefix="0" xfId="1">
      <alignment horizontal="center" vertical="center"/>
    </xf>
    <xf numFmtId="0" fontId="4" fillId="0" borderId="0" applyAlignment="1" pivotButton="0" quotePrefix="0" xfId="0">
      <alignment vertical="center"/>
    </xf>
    <xf numFmtId="165" fontId="4" fillId="0" borderId="0" applyAlignment="1" pivotButton="0" quotePrefix="0" xfId="2">
      <alignment vertical="center"/>
    </xf>
    <xf numFmtId="0" fontId="6" fillId="0" borderId="0" applyAlignment="1" pivotButton="0" quotePrefix="1" xfId="0">
      <alignment horizontal="left" vertical="center" wrapText="1"/>
    </xf>
    <xf numFmtId="0" fontId="0" fillId="0" borderId="2" pivotButton="0" quotePrefix="0" xfId="0"/>
    <xf numFmtId="0" fontId="6" fillId="0" borderId="0" applyAlignment="1" pivotButton="0" quotePrefix="1" xfId="0">
      <alignment horizontal="center" vertical="center"/>
    </xf>
    <xf numFmtId="9" fontId="0" fillId="0" borderId="0" applyAlignment="1" pivotButton="0" quotePrefix="0" xfId="10">
      <alignment vertical="center"/>
    </xf>
    <xf numFmtId="0" fontId="6" fillId="0" borderId="2" applyAlignment="1" pivotButton="0" quotePrefix="1" xfId="0">
      <alignment horizontal="left" vertical="center" wrapText="1"/>
    </xf>
    <xf numFmtId="0" fontId="6" fillId="0" borderId="0" applyAlignment="1" pivotButton="0" quotePrefix="1" xfId="0">
      <alignment horizontal="left" vertical="center" wrapText="1"/>
    </xf>
    <xf numFmtId="0" fontId="6" fillId="0" borderId="8" applyAlignment="1" pivotButton="0" quotePrefix="1" xfId="0">
      <alignment horizontal="left" vertical="center" wrapText="1"/>
    </xf>
    <xf numFmtId="0" fontId="15" fillId="0" borderId="0" applyAlignment="1" pivotButton="0" quotePrefix="0" xfId="0">
      <alignment horizontal="center"/>
    </xf>
    <xf numFmtId="165" fontId="24" fillId="5" borderId="17" applyAlignment="1" pivotButton="0" quotePrefix="0" xfId="1">
      <alignment horizontal="center" vertical="center"/>
    </xf>
    <xf numFmtId="165" fontId="24" fillId="5" borderId="18" applyAlignment="1" pivotButton="0" quotePrefix="0" xfId="1">
      <alignment horizontal="center" vertical="center"/>
    </xf>
    <xf numFmtId="0" fontId="24" fillId="5" borderId="16" applyAlignment="1" pivotButton="0" quotePrefix="0" xfId="1">
      <alignment horizontal="right" vertical="center"/>
    </xf>
    <xf numFmtId="0" fontId="24" fillId="5" borderId="17" applyAlignment="1" pivotButton="0" quotePrefix="0" xfId="1">
      <alignment horizontal="right" vertical="center"/>
    </xf>
    <xf numFmtId="0" fontId="25" fillId="5" borderId="4" applyAlignment="1" pivotButton="0" quotePrefix="0" xfId="1">
      <alignment horizontal="center"/>
    </xf>
    <xf numFmtId="0" fontId="25" fillId="5" borderId="6" applyAlignment="1" pivotButton="0" quotePrefix="0" xfId="1">
      <alignment horizontal="center"/>
    </xf>
    <xf numFmtId="0" fontId="25" fillId="5" borderId="5" applyAlignment="1" pivotButton="0" quotePrefix="0" xfId="1">
      <alignment horizontal="center"/>
    </xf>
    <xf numFmtId="0" fontId="10" fillId="3" borderId="0" applyAlignment="1" pivotButton="0" quotePrefix="0" xfId="0">
      <alignment horizontal="left" indent="1"/>
    </xf>
    <xf numFmtId="0" fontId="13" fillId="3" borderId="0" applyAlignment="1" pivotButton="0" quotePrefix="0" xfId="6">
      <alignment horizontal="left"/>
    </xf>
    <xf numFmtId="14" fontId="6" fillId="0" borderId="0" applyAlignment="1" pivotButton="0" quotePrefix="0" xfId="0">
      <alignment horizontal="left"/>
    </xf>
    <xf numFmtId="0" fontId="6" fillId="0" borderId="0" applyAlignment="1" pivotButton="0" quotePrefix="0" xfId="0">
      <alignment horizontal="left"/>
    </xf>
    <xf numFmtId="0" fontId="8" fillId="0" borderId="0" applyAlignment="1" pivotButton="0" quotePrefix="0" xfId="0">
      <alignment horizontal="left"/>
    </xf>
    <xf numFmtId="0" fontId="6" fillId="0" borderId="0" applyAlignment="1" pivotButton="0" quotePrefix="0" xfId="0">
      <alignment horizontal="left" vertical="center" wrapText="1"/>
    </xf>
    <xf numFmtId="0" fontId="6" fillId="0" borderId="0" applyAlignment="1" pivotButton="0" quotePrefix="1" xfId="0">
      <alignment horizontal="left"/>
    </xf>
    <xf numFmtId="0" fontId="9" fillId="3" borderId="0" applyAlignment="1" pivotButton="0" quotePrefix="0" xfId="0">
      <alignment horizontal="left"/>
    </xf>
    <xf numFmtId="0" fontId="25" fillId="5" borderId="10" applyAlignment="1" pivotButton="0" quotePrefix="0" xfId="1">
      <alignment vertical="center"/>
    </xf>
    <xf numFmtId="0" fontId="19" fillId="5" borderId="11" applyAlignment="1" pivotButton="0" quotePrefix="0" xfId="1">
      <alignment vertical="center"/>
    </xf>
    <xf numFmtId="0" fontId="9" fillId="0" borderId="9" applyAlignment="1" pivotButton="0" quotePrefix="1" xfId="0">
      <alignment horizontal="left" vertical="center" wrapText="1"/>
    </xf>
    <xf numFmtId="0" fontId="9" fillId="0" borderId="14" applyAlignment="1" pivotButton="0" quotePrefix="1" xfId="0">
      <alignment horizontal="left" vertical="center" wrapText="1"/>
    </xf>
    <xf numFmtId="0" fontId="9" fillId="0" borderId="2" applyAlignment="1" pivotButton="0" quotePrefix="1" xfId="0">
      <alignment horizontal="left" vertical="center" wrapText="1"/>
    </xf>
    <xf numFmtId="0" fontId="9" fillId="0" borderId="8" applyAlignment="1" pivotButton="0" quotePrefix="1" xfId="0">
      <alignment horizontal="left" vertical="center" wrapText="1"/>
    </xf>
    <xf numFmtId="0" fontId="6" fillId="0" borderId="7" applyAlignment="1" pivotButton="0" quotePrefix="0" xfId="0">
      <alignment horizontal="center" vertical="center"/>
    </xf>
    <xf numFmtId="0" fontId="6" fillId="0" borderId="1" applyAlignment="1" pivotButton="0" quotePrefix="0" xfId="0">
      <alignment horizontal="center" vertical="center"/>
    </xf>
    <xf numFmtId="165" fontId="6" fillId="0" borderId="7" applyAlignment="1" pivotButton="0" quotePrefix="0" xfId="2">
      <alignment horizontal="center" vertical="center"/>
    </xf>
    <xf numFmtId="165" fontId="6" fillId="0" borderId="1" applyAlignment="1" pivotButton="0" quotePrefix="0" xfId="2">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center"/>
    </xf>
    <xf numFmtId="165" fontId="6" fillId="0" borderId="0" pivotButton="0" quotePrefix="0" xfId="2"/>
    <xf numFmtId="165" fontId="6" fillId="0" borderId="0" applyAlignment="1" pivotButton="0" quotePrefix="0" xfId="2">
      <alignment vertical="center"/>
    </xf>
    <xf numFmtId="0" fontId="25" fillId="5" borderId="35" applyAlignment="1" pivotButton="0" quotePrefix="0" xfId="1">
      <alignment vertical="center"/>
    </xf>
    <xf numFmtId="0" fontId="0" fillId="0" borderId="11" pivotButton="0" quotePrefix="0" xfId="0"/>
    <xf numFmtId="0" fontId="9" fillId="0" borderId="38" applyAlignment="1" pivotButton="0" quotePrefix="1" xfId="0">
      <alignment horizontal="left" vertical="center" wrapText="1"/>
    </xf>
    <xf numFmtId="0" fontId="0" fillId="0" borderId="39" pivotButton="0" quotePrefix="0" xfId="0"/>
    <xf numFmtId="165" fontId="6" fillId="0" borderId="7" applyAlignment="1" pivotButton="0" quotePrefix="0" xfId="2">
      <alignment horizontal="center" vertical="center"/>
    </xf>
    <xf numFmtId="0" fontId="0" fillId="0" borderId="33" pivotButton="0" quotePrefix="0" xfId="0"/>
    <xf numFmtId="0" fontId="0" fillId="0" borderId="8" pivotButton="0" quotePrefix="0" xfId="0"/>
    <xf numFmtId="0" fontId="0" fillId="0" borderId="34" pivotButton="0" quotePrefix="0" xfId="0"/>
    <xf numFmtId="165" fontId="6" fillId="0" borderId="1" applyAlignment="1" pivotButton="0" quotePrefix="0" xfId="2">
      <alignment horizontal="center" vertical="center"/>
    </xf>
    <xf numFmtId="165" fontId="6" fillId="0" borderId="8" applyAlignment="1" pivotButton="0" quotePrefix="0" xfId="2">
      <alignment horizontal="center" vertical="center"/>
    </xf>
    <xf numFmtId="0" fontId="6" fillId="0" borderId="1" applyAlignment="1" pivotButton="0" quotePrefix="1" xfId="0">
      <alignment horizontal="left" vertical="center" wrapText="1"/>
    </xf>
    <xf numFmtId="165" fontId="6" fillId="0" borderId="0" applyAlignment="1" pivotButton="0" quotePrefix="0" xfId="2">
      <alignment horizontal="left" vertical="center"/>
    </xf>
    <xf numFmtId="165" fontId="6" fillId="0" borderId="8" applyAlignment="1" pivotButton="0" quotePrefix="0" xfId="2">
      <alignment horizontal="left" vertical="center"/>
    </xf>
    <xf numFmtId="0" fontId="0" fillId="0" borderId="17" pivotButton="0" quotePrefix="0" xfId="0"/>
    <xf numFmtId="165" fontId="24" fillId="5" borderId="18" applyAlignment="1" pivotButton="0" quotePrefix="0" xfId="1">
      <alignment horizontal="center" vertical="center"/>
    </xf>
    <xf numFmtId="0" fontId="0" fillId="0" borderId="18" pivotButton="0" quotePrefix="0" xfId="0"/>
    <xf numFmtId="165" fontId="6" fillId="0" borderId="0" applyAlignment="1" pivotButton="0" quotePrefix="0" xfId="2">
      <alignment horizontal="center" vertical="center"/>
    </xf>
    <xf numFmtId="0" fontId="25" fillId="5" borderId="3" applyAlignment="1" pivotButton="0" quotePrefix="0" xfId="1">
      <alignment horizontal="center"/>
    </xf>
    <xf numFmtId="0" fontId="0" fillId="0" borderId="6" pivotButton="0" quotePrefix="0" xfId="0"/>
    <xf numFmtId="0" fontId="0" fillId="0" borderId="5" pivotButton="0" quotePrefix="0" xfId="0"/>
    <xf numFmtId="165" fontId="0" fillId="0" borderId="0" pivotButton="0" quotePrefix="0" xfId="0"/>
    <xf numFmtId="165" fontId="0" fillId="0" borderId="0" applyAlignment="1" pivotButton="0" quotePrefix="0" xfId="2">
      <alignment vertical="center"/>
    </xf>
    <xf numFmtId="165" fontId="4" fillId="0" borderId="0" applyAlignment="1" pivotButton="0" quotePrefix="0" xfId="2">
      <alignment vertical="center"/>
    </xf>
    <xf numFmtId="165" fontId="0" fillId="0" borderId="0" pivotButton="0" quotePrefix="0" xfId="2"/>
    <xf numFmtId="166" fontId="0" fillId="0" borderId="0" pivotButton="0" quotePrefix="0" xfId="10"/>
    <xf numFmtId="166" fontId="0" fillId="0" borderId="0" pivotButton="0" quotePrefix="0" xfId="0"/>
  </cellXfs>
  <cellStyles count="11">
    <cellStyle name="Normal" xfId="0" builtinId="0"/>
    <cellStyle name="Saída" xfId="1" builtinId="21"/>
    <cellStyle name="Moeda" xfId="2" builtinId="4"/>
    <cellStyle name="Vírgula" xfId="3" builtinId="3"/>
    <cellStyle name="Porcentagem 2" xfId="4"/>
    <cellStyle name="Vírgula 2" xfId="5"/>
    <cellStyle name="Hiperlink" xfId="6" builtinId="8"/>
    <cellStyle name="Normal 2" xfId="7"/>
    <cellStyle name="Moeda 2" xfId="8"/>
    <cellStyle name="Porcentagem 3" xfId="9"/>
    <cellStyle name="Porcentagem" xfId="10" builtinId="5"/>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9</col>
      <colOff>0</colOff>
      <row>21</row>
      <rowOff>0</rowOff>
    </from>
    <to>
      <col>9</col>
      <colOff>0</colOff>
      <row>59</row>
      <rowOff>142875</rowOff>
    </to>
    <pic>
      <nvPicPr>
        <cNvPr id="7" name="Imagem 6"/>
        <cNvPicPr>
          <a:picLocks noChangeAspect="1" noChangeArrowheads="1"/>
        </cNvPicPr>
      </nvPicPr>
      <blipFill>
        <a:blip r:embed="rId1"/>
        <a:srcRect/>
        <a:stretch>
          <a:fillRect/>
        </a:stretch>
      </blipFill>
      <spPr bwMode="auto">
        <a:xfrm>
          <a:off x="9067800" y="3762375"/>
          <a:ext cx="0" cy="6372225"/>
        </a:xfrm>
        <a:prstGeom prst="rect">
          <avLst/>
        </a:prstGeom>
        <a:noFill/>
        <a:ln>
          <a:prstDash val="solid"/>
        </a:ln>
      </spPr>
    </pic>
    <clientData/>
  </twoCellAnchor>
  <twoCellAnchor editAs="oneCell">
    <from>
      <col>9</col>
      <colOff>0</colOff>
      <row>21</row>
      <rowOff>0</rowOff>
    </from>
    <to>
      <col>9</col>
      <colOff>0</colOff>
      <row>59</row>
      <rowOff>142875</rowOff>
    </to>
    <pic>
      <nvPicPr>
        <cNvPr id="9" name="Imagem 8"/>
        <cNvPicPr>
          <a:picLocks noChangeAspect="1" noChangeArrowheads="1"/>
        </cNvPicPr>
      </nvPicPr>
      <blipFill>
        <a:blip r:embed="rId2"/>
        <a:srcRect/>
        <a:stretch>
          <a:fillRect/>
        </a:stretch>
      </blipFill>
      <spPr bwMode="auto">
        <a:xfrm>
          <a:off x="9067800" y="3762375"/>
          <a:ext cx="0" cy="6372225"/>
        </a:xfrm>
        <a:prstGeom prst="rect">
          <avLst/>
        </a:prstGeom>
        <a:noFill/>
        <a:ln>
          <a:prstDash val="solid"/>
        </a:ln>
      </spPr>
    </pic>
    <clientData/>
  </twoCellAnchor>
  <twoCellAnchor>
    <from>
      <col>1</col>
      <colOff>133349</colOff>
      <row>0</row>
      <rowOff>182404</rowOff>
    </from>
    <to>
      <col>1</col>
      <colOff>3732480</colOff>
      <row>5</row>
      <rowOff>47625</rowOff>
    </to>
    <grpSp>
      <nvGrpSpPr>
        <cNvPr id="6" name="Agrupar 5"/>
        <cNvGrpSpPr/>
      </nvGrpSpPr>
      <grpSpPr>
        <a:xfrm rot="0">
          <a:off x="323849" y="182404"/>
          <a:ext cx="3599131" cy="884396"/>
          <a:chOff x="323849" y="182404"/>
          <a:chExt cx="3599131" cy="884396"/>
        </a:xfrm>
      </grpSpPr>
      <pic>
        <nvPicPr>
          <cNvPr id="4" name="Imagem 3"/>
          <cNvPicPr>
            <a:picLocks noChangeAspect="1" noChangeArrowheads="1"/>
          </cNvPicPr>
        </nvPicPr>
        <blipFill>
          <a:blip r:embed="rId3"/>
          <a:srcRect/>
          <a:stretch>
            <a:fillRect/>
          </a:stretch>
        </blipFill>
        <spPr bwMode="auto">
          <a:xfrm>
            <a:off x="323849" y="285750"/>
            <a:ext cx="1741171" cy="733425"/>
          </a:xfrm>
          <a:prstGeom prst="rect">
            <avLst/>
          </a:prstGeom>
          <a:noFill/>
          <a:ln>
            <a:prstDash val="solid"/>
          </a:ln>
        </spPr>
      </pic>
    </grpSp>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73"/>
  <sheetViews>
    <sheetView showGridLines="0" view="pageBreakPreview" topLeftCell="A19" zoomScaleNormal="115" zoomScaleSheetLayoutView="100" zoomScalePageLayoutView="130" workbookViewId="0">
      <selection activeCell="B54" sqref="B54:G56"/>
    </sheetView>
  </sheetViews>
  <sheetFormatPr baseColWidth="8" defaultColWidth="0" defaultRowHeight="12.75"/>
  <cols>
    <col width="2.85546875" customWidth="1" style="1" min="1" max="1"/>
    <col width="65.7109375" customWidth="1" style="1" min="2" max="2"/>
    <col width="18.85546875" customWidth="1" style="1" min="3" max="3"/>
    <col width="10.85546875" customWidth="1" style="6" min="4" max="4"/>
    <col width="8.42578125" customWidth="1" style="1" min="5" max="5"/>
    <col width="12.5703125" customWidth="1" style="1" min="6" max="7"/>
    <col hidden="1" width="12.42578125" customWidth="1" style="1" min="8" max="8"/>
    <col width="4.140625" customWidth="1" style="1" min="9" max="9"/>
    <col hidden="1" width="11.28515625" customWidth="1" style="1" min="10" max="10"/>
    <col hidden="1" width="37" customWidth="1" style="1" min="11" max="11"/>
    <col hidden="1" width="10.42578125" customWidth="1" style="1" min="12" max="12"/>
    <col hidden="1" width="7.42578125" customWidth="1" style="1" min="13" max="13"/>
    <col hidden="1" width="11.42578125" customWidth="1" style="116" min="14" max="14"/>
    <col hidden="1" width="8.85546875" customWidth="1" style="1" min="15" max="16384"/>
  </cols>
  <sheetData>
    <row r="1" ht="21" customHeight="1">
      <c r="B1" s="29" t="n"/>
      <c r="C1" s="2" t="n"/>
      <c r="D1" s="3" t="n"/>
      <c r="E1" s="2" t="n"/>
      <c r="F1" s="2" t="n"/>
      <c r="G1" s="2" t="n"/>
      <c r="H1" s="2" t="n"/>
    </row>
    <row r="2" ht="21" customHeight="1">
      <c r="B2" s="4" t="n"/>
      <c r="C2" s="5" t="n"/>
      <c r="D2" s="30" t="inlineStr">
        <is>
          <t>DATA:</t>
        </is>
      </c>
      <c r="E2" s="98" t="n">
        <v>45586</v>
      </c>
    </row>
    <row r="3" ht="12.95" customHeight="1">
      <c r="C3" s="7" t="n"/>
      <c r="D3" s="8" t="n"/>
    </row>
    <row r="4" ht="12.95" customHeight="1">
      <c r="C4" s="4" t="n"/>
      <c r="D4" s="30" t="inlineStr">
        <is>
          <t>DE:</t>
        </is>
      </c>
      <c r="E4" s="99" t="inlineStr">
        <is>
          <t>Ricardo Barbosa de Barros</t>
        </is>
      </c>
      <c r="K4" s="9" t="n"/>
      <c r="L4" s="9" t="n"/>
      <c r="M4" s="9" t="n"/>
      <c r="N4" s="117" t="n"/>
    </row>
    <row r="5" ht="12.95" customFormat="1" customHeight="1" s="9">
      <c r="A5" s="1" t="n"/>
      <c r="C5" s="4" t="n"/>
      <c r="D5" s="31" t="n"/>
      <c r="E5" s="33" t="inlineStr">
        <is>
          <t>(48) 9 9919 3243</t>
        </is>
      </c>
      <c r="F5" s="33" t="n"/>
      <c r="G5" s="33" t="n"/>
      <c r="N5" s="117" t="n"/>
    </row>
    <row r="6" ht="12.95" customFormat="1" customHeight="1" s="9">
      <c r="A6" s="1" t="n"/>
      <c r="C6" s="4" t="n"/>
      <c r="D6" s="4" t="n"/>
      <c r="E6" s="97" t="inlineStr">
        <is>
          <t>barros@caexperts.com.br</t>
        </is>
      </c>
      <c r="N6" s="117" t="n"/>
    </row>
    <row r="7" ht="12.95" customFormat="1" customHeight="1" s="9">
      <c r="A7" s="1" t="n"/>
      <c r="C7" s="4" t="n"/>
      <c r="E7" s="97" t="n"/>
      <c r="N7" s="117" t="n"/>
    </row>
    <row r="8" ht="12.95" customFormat="1" customHeight="1" s="9">
      <c r="A8" s="1" t="n"/>
      <c r="B8" s="29" t="inlineStr">
        <is>
          <t>Razão Social: Creative Solutions Engenharia e Consultoria LTDA</t>
        </is>
      </c>
      <c r="C8" s="4" t="n"/>
      <c r="D8" s="32" t="inlineStr">
        <is>
          <t>PARA:</t>
        </is>
      </c>
      <c r="E8" s="100" t="inlineStr">
        <is>
          <t>FOXTERMO Refrigeração e Aquecimento LTDA</t>
        </is>
      </c>
      <c r="N8" s="117" t="n"/>
    </row>
    <row r="9" ht="12.95" customFormat="1" customHeight="1" s="9">
      <c r="A9" s="1" t="n"/>
      <c r="B9" s="29" t="inlineStr">
        <is>
          <t>CNPJ: 15.806.919/0001-44 - Inscrição Estadual: 25.676.225-2</t>
        </is>
      </c>
      <c r="C9" s="4" t="n"/>
      <c r="D9" s="4" t="n"/>
      <c r="E9" s="101" t="inlineStr">
        <is>
          <t>Álvaro Salla</t>
        </is>
      </c>
      <c r="N9" s="117" t="n"/>
    </row>
    <row r="10" ht="12.95" customFormat="1" customHeight="1" s="9">
      <c r="A10" s="1" t="n"/>
      <c r="B10" s="29" t="inlineStr">
        <is>
          <t>Rod Jose Carlos Daux, km 01 - Edifício CELTA, 3º andar - Sala 2.02</t>
        </is>
      </c>
      <c r="C10" s="4" t="n"/>
      <c r="D10" s="4" t="n"/>
      <c r="E10" s="102" t="inlineStr">
        <is>
          <t>(11) 98855-6006</t>
        </is>
      </c>
      <c r="N10" s="117" t="n"/>
    </row>
    <row r="11" ht="12.95" customFormat="1" customHeight="1" s="9">
      <c r="A11" s="1" t="n"/>
      <c r="B11" s="29" t="inlineStr">
        <is>
          <t>CEP: 88030-902 - Bairro João Paulo</t>
        </is>
      </c>
      <c r="C11" s="4" t="n"/>
      <c r="D11" s="4" t="n"/>
      <c r="E11" s="97" t="inlineStr">
        <is>
          <t>alvaro.salla@foxtermo.com.br</t>
        </is>
      </c>
      <c r="N11" s="117" t="n"/>
    </row>
    <row r="12" ht="12.95" customFormat="1" customHeight="1" s="9">
      <c r="A12" s="1" t="n"/>
      <c r="B12" s="29" t="inlineStr">
        <is>
          <t>Florianópolis – SC – Brasil</t>
        </is>
      </c>
      <c r="C12" s="4" t="n"/>
      <c r="D12" s="4" t="n"/>
      <c r="N12" s="117" t="n"/>
    </row>
    <row r="13" ht="12.95" customFormat="1" customHeight="1" s="9">
      <c r="A13" s="1" t="n"/>
      <c r="C13" s="4" t="n"/>
      <c r="D13" s="32" t="inlineStr">
        <is>
          <t>VÁLIDO ATÉ:</t>
        </is>
      </c>
      <c r="E13" s="98">
        <f>E2+30</f>
        <v/>
      </c>
      <c r="N13" s="117" t="n"/>
    </row>
    <row r="14" ht="12.95" customHeight="1">
      <c r="B14" s="10" t="n"/>
      <c r="C14" s="11" t="n"/>
    </row>
    <row r="15" ht="21" customHeight="1">
      <c r="B15" s="10" t="n"/>
      <c r="C15" s="10" t="n"/>
      <c r="D15" s="12" t="n"/>
      <c r="E15" s="10" t="n"/>
      <c r="F15" s="103" t="n"/>
    </row>
    <row r="16" ht="15" customHeight="1">
      <c r="B16" s="118" t="inlineStr">
        <is>
          <t>Item</t>
        </is>
      </c>
      <c r="C16" s="119" t="n"/>
      <c r="D16" s="76" t="inlineStr">
        <is>
          <t>Tipo</t>
        </is>
      </c>
      <c r="E16" s="77" t="inlineStr">
        <is>
          <t>Quant.</t>
        </is>
      </c>
      <c r="F16" s="78" t="inlineStr">
        <is>
          <t>Valor Unit.</t>
        </is>
      </c>
      <c r="G16" s="78" t="inlineStr">
        <is>
          <t>Valor Total</t>
        </is>
      </c>
      <c r="I16" s="13" t="n"/>
    </row>
    <row r="17" ht="12.75" customHeight="1">
      <c r="B17" s="120" t="inlineStr">
        <is>
          <t>Estudo CFD — Tanque de Cristalização de Óleo de Palma (serpentina + agitador)</t>
        </is>
      </c>
      <c r="C17" s="121" t="n"/>
      <c r="D17" s="110" t="inlineStr">
        <is>
          <t>Serviço</t>
        </is>
      </c>
      <c r="E17" s="110" t="n">
        <v>1</v>
      </c>
      <c r="F17" s="122">
        <f>ROUND(Cronograma!O5,0)*1.1</f>
        <v/>
      </c>
      <c r="G17" s="122">
        <f>F17</f>
        <v/>
      </c>
      <c r="I17" s="14" t="n"/>
    </row>
    <row r="18">
      <c r="B18" s="123" t="n"/>
      <c r="C18" s="124" t="n"/>
      <c r="D18" s="125" t="n"/>
      <c r="E18" s="125" t="n"/>
      <c r="F18" s="125" t="n"/>
      <c r="G18" s="125" t="n"/>
      <c r="I18" s="14" t="n"/>
    </row>
    <row r="19">
      <c r="B19" s="20" t="n"/>
      <c r="C19" s="21" t="n"/>
      <c r="D19" s="111" t="n"/>
      <c r="E19" s="23" t="n"/>
      <c r="F19" s="126" t="n"/>
      <c r="G19" s="127" t="n"/>
      <c r="I19" s="14" t="n"/>
    </row>
    <row r="20" ht="13.9" customHeight="1">
      <c r="B20" s="128" t="inlineStr">
        <is>
          <t>Objetivo: Prever, via simulação CFD (Simcenter STAR-CCM+), o campo de velocidades e a transferência de calor no tanque de cristalização de óleo de palma com serpentina de imersão e agitador — com foco nas VELOCIDADES NA REGIÃO DA SERPENTINA, que governam a uniformidade do resfriamento e, portanto, a qualidade e o controle da cristalização (zonas de baixa velocidade levam a cristalização desigual e incrustação na serpentina).</t>
        </is>
      </c>
      <c r="G20" s="124" t="n"/>
      <c r="I20" s="14" t="n"/>
    </row>
    <row r="21" ht="13.9" customHeight="1">
      <c r="B21" s="82" t="n"/>
      <c r="G21" s="124" t="n"/>
      <c r="I21" s="14" t="n"/>
    </row>
    <row r="22">
      <c r="B22" s="82" t="n"/>
      <c r="C22" s="26" t="n"/>
      <c r="D22" s="7" t="n"/>
      <c r="E22" s="7" t="n"/>
      <c r="F22" s="129" t="n"/>
      <c r="G22" s="130" t="n"/>
      <c r="I22" s="14" t="n"/>
    </row>
    <row r="23" ht="12.75" customHeight="1">
      <c r="B23" s="128" t="inlineStr">
        <is>
          <t>Recursos: Empregaremos neste projeto uma equipe técnica de consultores experientes na solução de problemas industriais com o apoio de ferramentas de CAE avançadas da SIEMENS, como o STAR-CCM+, referência mundial na área de fluidodinâmica.</t>
        </is>
      </c>
      <c r="G23" s="124" t="n"/>
      <c r="I23" s="14" t="n"/>
    </row>
    <row r="24" ht="12.75" customHeight="1">
      <c r="B24" s="82" t="n"/>
      <c r="G24" s="124" t="n"/>
      <c r="I24" s="14" t="n"/>
    </row>
    <row r="25">
      <c r="B25" s="36" t="n"/>
      <c r="C25" s="26" t="n"/>
      <c r="D25" s="7" t="n"/>
      <c r="E25" s="7" t="n"/>
      <c r="F25" s="129" t="n"/>
      <c r="G25" s="130" t="n"/>
      <c r="I25" s="14" t="n"/>
    </row>
    <row r="26">
      <c r="B26" s="128" t="inlineStr">
        <is>
          <t>Escopo: A CAEXPERTS desenvolverá o estudo em 4 etapas: Etapa 1 — Recebimento de dados, simplificação do CAD (tanque, serpentina helicoidal e agitador) e montagem do modelo; Etapa 2 — Configuração do CFD: agitador em Moving Reference Frame (MRF), transferência de calor CONJUGADA (óleo ↔ parede da serpentina ↔ água de resfriamento) e propriedades dependentes da temperatura (ρ(T), μ(T)); Etapa 3 — Execução das 4 simulações, variando as propriedades (temperatura) e a rotação do agitador; Etapa 4 — Pós-processamento, análise (velocidades na serpentina, campo térmico, zonas de baixa velocidade) e relatório técnico. OPCIONAL — Cristalização detalhada (nucleação/crescimento via balanço populacional + reologia de slurry), condicionada aos dados de cinética e reologia do cliente.</t>
        </is>
      </c>
      <c r="G26" s="124" t="n"/>
      <c r="I26" s="14" t="n"/>
    </row>
    <row r="27">
      <c r="B27" s="82" t="n"/>
      <c r="G27" s="124" t="n"/>
      <c r="I27" s="14" t="n"/>
    </row>
    <row r="28">
      <c r="B28" s="82" t="n"/>
      <c r="G28" s="124" t="n"/>
      <c r="I28" s="14" t="n"/>
    </row>
    <row r="29">
      <c r="B29" s="82" t="n"/>
      <c r="G29" s="124" t="n"/>
      <c r="I29" s="14" t="n"/>
    </row>
    <row r="30">
      <c r="B30" s="82" t="n"/>
      <c r="G30" s="124" t="n"/>
      <c r="I30" s="14" t="n"/>
    </row>
    <row r="31">
      <c r="B31" s="82" t="n"/>
      <c r="G31" s="124" t="n"/>
      <c r="I31" s="14" t="n"/>
    </row>
    <row r="32">
      <c r="B32" s="82" t="n"/>
      <c r="G32" s="124" t="n"/>
      <c r="I32" s="14" t="n"/>
    </row>
    <row r="33">
      <c r="B33" s="82" t="n"/>
      <c r="G33" s="124" t="n"/>
      <c r="I33" s="14" t="n"/>
    </row>
    <row r="34">
      <c r="B34" s="82" t="n"/>
      <c r="G34" s="124" t="n"/>
      <c r="I34" s="14" t="n"/>
    </row>
    <row r="35">
      <c r="B35" s="82" t="n"/>
      <c r="G35" s="124" t="n"/>
      <c r="I35" s="14" t="n"/>
    </row>
    <row r="36">
      <c r="B36" s="82" t="n"/>
      <c r="G36" s="124" t="n"/>
      <c r="I36" s="14" t="n"/>
    </row>
    <row r="37">
      <c r="B37" s="82" t="n"/>
      <c r="G37" s="124" t="n"/>
      <c r="I37" s="14" t="n"/>
    </row>
    <row r="38">
      <c r="B38" s="82" t="n"/>
      <c r="G38" s="124" t="n"/>
      <c r="I38" s="14" t="n"/>
    </row>
    <row r="39">
      <c r="B39" s="82" t="n"/>
      <c r="G39" s="124" t="n"/>
      <c r="I39" s="14" t="n"/>
    </row>
    <row r="40">
      <c r="B40" s="82" t="n"/>
      <c r="G40" s="124" t="n"/>
      <c r="I40" s="14" t="n"/>
    </row>
    <row r="41">
      <c r="B41" s="82" t="n"/>
      <c r="G41" s="124" t="n"/>
      <c r="I41" s="14" t="n"/>
    </row>
    <row r="42">
      <c r="B42" s="43" t="n"/>
      <c r="C42" s="83" t="n"/>
      <c r="D42" s="83" t="n"/>
      <c r="E42" s="83" t="n"/>
      <c r="F42" s="83" t="n"/>
      <c r="G42" s="44" t="n"/>
      <c r="I42" s="14" t="n"/>
    </row>
    <row r="43" ht="12.75" customHeight="1">
      <c r="B43" s="128" t="inlineStr">
        <is>
          <t>Cronograma de Atividades: A execução do projeto está prevista para 45 dias, conforme cronograma em anexo. A primeira etapa se inicia oficialmente a partir do dia subsequente ao recebimento dos documentos com os dados necessários. Durações: Etapa 1: 10 dias; Etapa 2: 20 dias; Etapa 3: 10 dias; Etapa 4: 5 dias.</t>
        </is>
      </c>
      <c r="G43" s="124" t="n"/>
      <c r="I43" s="14" t="n"/>
    </row>
    <row r="44" ht="12.75" customHeight="1">
      <c r="B44" s="82" t="n"/>
      <c r="G44" s="124" t="n"/>
      <c r="I44" s="14" t="n"/>
    </row>
    <row r="45" ht="12.75" customHeight="1">
      <c r="B45" s="82" t="n"/>
      <c r="G45" s="124" t="n"/>
      <c r="I45" s="14" t="n"/>
    </row>
    <row r="46" ht="12.75" customHeight="1">
      <c r="B46" s="82" t="n"/>
      <c r="G46" s="124" t="n"/>
      <c r="I46" s="14" t="n"/>
    </row>
    <row r="47">
      <c r="B47" s="82" t="n"/>
      <c r="G47" s="124" t="n"/>
      <c r="I47" s="14" t="n"/>
    </row>
    <row r="48">
      <c r="B48" s="85" t="n"/>
      <c r="C48" s="86" t="n"/>
      <c r="D48" s="86" t="n"/>
      <c r="E48" s="86" t="n"/>
      <c r="F48" s="86" t="n"/>
      <c r="G48" s="87" t="n"/>
      <c r="I48" s="14" t="n"/>
    </row>
    <row r="49" ht="13.9" customHeight="1">
      <c r="B49" s="128" t="inlineStr">
        <is>
          <t>Requisitos/Dados Necessários ao Projeto: CAD 3D do tanque, da serpentina (Ø do tubo, passo, nº de voltas, Ø da hélice, material) e do agitador (tipo, Ø, nº de pás, rotações) em formato .step, .iges ou parasolid; propriedades do óleo de palma ρ(T) e μ(T); vazão e temperaturas da água de resfriamento (e DN dos tubos); ponto de operação (T inicial do óleo, meta de resfriamento, tempo de batelada). Para a cristalização detalhada (opcional): temperatura e calor latente de cristalização, curva de fração sólida × T e cinética de nucleação/crescimento.</t>
        </is>
      </c>
      <c r="G49" s="124" t="n"/>
      <c r="I49" s="14" t="n"/>
    </row>
    <row r="50">
      <c r="B50" s="82" t="n"/>
      <c r="G50" s="124" t="n"/>
      <c r="I50" s="14" t="n"/>
    </row>
    <row r="51">
      <c r="B51" s="85" t="n"/>
      <c r="C51" s="86" t="n"/>
      <c r="D51" s="86" t="n"/>
      <c r="E51" s="86" t="n"/>
      <c r="F51" s="86" t="n"/>
      <c r="G51" s="87" t="n"/>
      <c r="I51" s="14" t="n"/>
    </row>
    <row r="52" ht="13.9" customHeight="1">
      <c r="B52" s="128" t="inlineStr">
        <is>
          <t>Entregáveis do Projeto: Relatório em formato .ppt contendo a metodologia e os resultados das 4 simulações — campos de velocidade (com destaque nas velocidades na serpentina), campo de temperatura e fluxo de calor óleo→água, identificação de zonas de baixa velocidade/estagnação, e o efeito da rotação do agitador e das propriedades (temperatura) no resfriamento e na uniformidade da cristalização.</t>
        </is>
      </c>
      <c r="G52" s="124" t="n"/>
      <c r="I52" s="14" t="n"/>
    </row>
    <row r="53">
      <c r="B53" s="85" t="n"/>
      <c r="C53" s="86" t="n"/>
      <c r="D53" s="7" t="n"/>
      <c r="E53" s="7" t="n"/>
      <c r="F53" s="129" t="n"/>
      <c r="G53" s="130" t="n"/>
      <c r="I53" s="14" t="n"/>
    </row>
    <row r="54" ht="13.9" customHeight="1">
      <c r="B54" s="128" t="inlineStr">
        <is>
          <t>Quem Somos: A CAEXPERTS é uma empresa especializada em digitalização da engenharia que conta com uma rede de consultores pioneiros da implantação de tecnologias de simulação computacional na indústria nacional. Somos parceiros tecnológicos da SIEMENS Digital Industries Software, onde contamos com um portifólio de ferramentas de CAE mais completo do mercado.</t>
        </is>
      </c>
      <c r="G54" s="124" t="n"/>
      <c r="I54" s="14" t="n"/>
    </row>
    <row r="55" ht="13.9" customHeight="1">
      <c r="B55" s="82" t="n"/>
      <c r="G55" s="124" t="n"/>
      <c r="I55" s="14" t="n"/>
    </row>
    <row r="56" ht="12.75" customHeight="1">
      <c r="B56" s="82" t="n"/>
      <c r="G56" s="124" t="n"/>
      <c r="I56" s="14" t="n"/>
    </row>
    <row r="57">
      <c r="B57" s="39" t="n"/>
      <c r="C57" s="40" t="n"/>
      <c r="D57" s="40" t="n"/>
      <c r="E57" s="40" t="n"/>
      <c r="F57" s="40" t="n"/>
      <c r="G57" s="41" t="n"/>
      <c r="I57" s="14" t="n"/>
    </row>
    <row r="58" ht="15.75" customHeight="1">
      <c r="B58" s="91" t="inlineStr">
        <is>
          <t>INVESTIMENTO TOTAL</t>
        </is>
      </c>
      <c r="C58" s="131" t="n"/>
      <c r="D58" s="131" t="n"/>
      <c r="E58" s="131" t="n"/>
      <c r="F58" s="132">
        <f>G17</f>
        <v/>
      </c>
      <c r="G58" s="133" t="n"/>
      <c r="I58" s="14" t="n"/>
    </row>
    <row r="59">
      <c r="B59" s="9" t="n"/>
      <c r="C59" s="26" t="n"/>
      <c r="D59" s="8" t="n"/>
      <c r="E59" s="27" t="n"/>
      <c r="F59" s="27" t="n"/>
      <c r="G59" s="134" t="n"/>
      <c r="I59" s="14" t="n"/>
    </row>
    <row r="60">
      <c r="B60" s="34" t="inlineStr">
        <is>
          <t>Observações:</t>
        </is>
      </c>
      <c r="C60" s="15" t="n"/>
      <c r="D60" s="16" t="n"/>
      <c r="I60" s="14" t="n"/>
    </row>
    <row r="61">
      <c r="B61" s="96" t="inlineStr">
        <is>
          <t>Condições de Pagamento: 30 dias.</t>
        </is>
      </c>
      <c r="I61" s="14" t="n"/>
    </row>
    <row r="62">
      <c r="B62" s="96" t="inlineStr">
        <is>
          <t>Faturamento: Nota fiscal de serviços</t>
        </is>
      </c>
      <c r="I62" s="14" t="n"/>
    </row>
    <row r="64">
      <c r="B64" s="135" t="inlineStr">
        <is>
          <t>Aceitação desta proposta via emissão de pedido de compras ou contrato específico</t>
        </is>
      </c>
      <c r="C64" s="136" t="n"/>
      <c r="D64" s="136" t="n"/>
      <c r="E64" s="136" t="n"/>
      <c r="F64" s="136" t="n"/>
      <c r="G64" s="137" t="n"/>
    </row>
    <row r="67">
      <c r="H67" s="17" t="n"/>
    </row>
    <row r="68">
      <c r="H68" s="17" t="n"/>
    </row>
    <row r="73" ht="23.25" customHeight="1">
      <c r="B73" s="88" t="inlineStr">
        <is>
          <t>ANEXO - CRONOGRAMA DE ATIVIDADES</t>
        </is>
      </c>
    </row>
  </sheetData>
  <mergeCells count="29">
    <mergeCell ref="E10:G10"/>
    <mergeCell ref="E17:E18"/>
    <mergeCell ref="B16:C16"/>
    <mergeCell ref="B20:G21"/>
    <mergeCell ref="G17:G18"/>
    <mergeCell ref="E13:G13"/>
    <mergeCell ref="B61:G61"/>
    <mergeCell ref="B43:G47"/>
    <mergeCell ref="D17:D18"/>
    <mergeCell ref="E9:G9"/>
    <mergeCell ref="B73:G73"/>
    <mergeCell ref="E6:G6"/>
    <mergeCell ref="E2:G2"/>
    <mergeCell ref="E11:G11"/>
    <mergeCell ref="F15:G15"/>
    <mergeCell ref="F17:F18"/>
    <mergeCell ref="B64:G64"/>
    <mergeCell ref="E7:G7"/>
    <mergeCell ref="B58:E58"/>
    <mergeCell ref="B54:G56"/>
    <mergeCell ref="B23:G24"/>
    <mergeCell ref="B26:G41"/>
    <mergeCell ref="F58:G58"/>
    <mergeCell ref="B62:G62"/>
    <mergeCell ref="B17:C18"/>
    <mergeCell ref="E8:G8"/>
    <mergeCell ref="B49:G50"/>
    <mergeCell ref="E4:G4"/>
    <mergeCell ref="B52:G52"/>
  </mergeCells>
  <printOptions horizontalCentered="1"/>
  <pageMargins left="0.1968503937007874" right="0.1968503937007874" top="0.1968503937007874" bottom="0.1968503937007874" header="0" footer="0"/>
  <pageSetup orientation="portrait" paperSize="9" scale="78" fitToHeight="2"/>
  <rowBreaks count="1" manualBreakCount="1">
    <brk id="68" min="1" max="6"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R30"/>
  <sheetViews>
    <sheetView tabSelected="1" workbookViewId="0">
      <selection activeCell="M31" sqref="M31"/>
    </sheetView>
  </sheetViews>
  <sheetFormatPr baseColWidth="8" defaultRowHeight="12.75"/>
  <cols>
    <col width="63.28515625" customWidth="1" min="2" max="2"/>
    <col width="5.140625" bestFit="1" customWidth="1" min="3" max="3"/>
    <col width="7" bestFit="1" customWidth="1" min="4" max="7"/>
    <col width="11.28515625" bestFit="1" customWidth="1" min="8" max="8"/>
    <col width="11.28515625" customWidth="1" min="9" max="9"/>
    <col width="12.140625" bestFit="1" customWidth="1" min="10" max="10"/>
    <col width="13.28515625" bestFit="1" customWidth="1" min="11" max="11"/>
    <col width="13.28515625" customWidth="1" min="12" max="13"/>
    <col width="16.5703125" customWidth="1" min="14" max="14"/>
    <col width="14.7109375" customWidth="1" min="15" max="15"/>
    <col width="10.7109375" customWidth="1" min="16" max="17"/>
    <col hidden="1" width="12.28515625" customWidth="1" min="18" max="18"/>
  </cols>
  <sheetData>
    <row r="2" ht="13.5" customHeight="1" thickBot="1">
      <c r="N2" s="46" t="n"/>
      <c r="R2" s="45" t="inlineStr">
        <is>
          <t>Sim</t>
        </is>
      </c>
    </row>
    <row r="3" ht="15.75" customHeight="1" thickBot="1">
      <c r="B3" s="57" t="inlineStr">
        <is>
          <t>ATIVIDADES DO PROJETO:                   |                  ETAPAS:</t>
        </is>
      </c>
      <c r="C3" s="58" t="n">
        <v>0</v>
      </c>
      <c r="D3" s="59" t="n">
        <v>1</v>
      </c>
      <c r="E3" s="59" t="n">
        <v>2</v>
      </c>
      <c r="F3" s="59" t="n">
        <v>3</v>
      </c>
      <c r="G3" s="60" t="n">
        <v>4</v>
      </c>
      <c r="K3" s="46" t="inlineStr">
        <is>
          <t>Marcus</t>
        </is>
      </c>
      <c r="L3" s="46" t="inlineStr">
        <is>
          <t>Gabriel</t>
        </is>
      </c>
      <c r="M3" s="46" t="inlineStr">
        <is>
          <t>Humberto</t>
        </is>
      </c>
      <c r="N3" s="46" t="inlineStr">
        <is>
          <t>Urgência</t>
        </is>
      </c>
      <c r="O3" s="45" t="inlineStr">
        <is>
          <t>Não</t>
        </is>
      </c>
      <c r="P3" s="50" t="n"/>
      <c r="Q3" s="50" t="n"/>
      <c r="R3" s="79" t="inlineStr">
        <is>
          <t>Não</t>
        </is>
      </c>
    </row>
    <row r="4" ht="16.5" customHeight="1" thickBot="1" thickTop="1">
      <c r="B4" s="69" t="inlineStr">
        <is>
          <t>Início de Projeto</t>
        </is>
      </c>
      <c r="C4" s="70" t="inlineStr">
        <is>
          <t>dia 0</t>
        </is>
      </c>
      <c r="D4" s="53" t="n"/>
      <c r="E4" s="53" t="n"/>
      <c r="F4" s="53" t="n"/>
      <c r="G4" s="54" t="n"/>
      <c r="N4" s="46" t="inlineStr">
        <is>
          <t>Total Eq. Téc.</t>
        </is>
      </c>
      <c r="O4" s="138">
        <f>SUM(K24:M24)</f>
        <v/>
      </c>
      <c r="P4" s="50" t="n"/>
      <c r="Q4" s="50" t="n"/>
      <c r="R4" s="50" t="n"/>
    </row>
    <row r="5" ht="15" customHeight="1">
      <c r="B5" s="63" t="n"/>
      <c r="C5" s="72" t="n"/>
      <c r="D5" s="61" t="n"/>
      <c r="E5" s="73" t="n"/>
      <c r="F5" s="73" t="n"/>
      <c r="G5" s="56" t="n"/>
      <c r="N5" s="46" t="inlineStr">
        <is>
          <t>Total Projeto:</t>
        </is>
      </c>
      <c r="O5" s="138">
        <f>O4/0.35</f>
        <v/>
      </c>
      <c r="P5" s="139" t="n"/>
      <c r="Q5" s="139" t="n"/>
      <c r="R5" s="140" t="inlineStr">
        <is>
          <t>CFD</t>
        </is>
      </c>
    </row>
    <row r="6" ht="15" customHeight="1">
      <c r="B6" s="55" t="n"/>
      <c r="C6" s="72" t="n"/>
      <c r="D6" s="62" t="n"/>
      <c r="E6" s="73" t="n"/>
      <c r="F6" s="73" t="n"/>
      <c r="G6" s="56" t="n"/>
      <c r="N6" s="50" t="inlineStr">
        <is>
          <t>Rateio</t>
        </is>
      </c>
      <c r="O6" s="84" t="n">
        <v>0.35</v>
      </c>
      <c r="P6" s="139" t="n"/>
      <c r="Q6" s="139" t="n"/>
      <c r="R6" s="140" t="inlineStr">
        <is>
          <t>CFD + DEM</t>
        </is>
      </c>
    </row>
    <row r="7" ht="15" customHeight="1">
      <c r="B7" s="55" t="n"/>
      <c r="C7" s="72" t="n"/>
      <c r="D7" s="62" t="n"/>
      <c r="E7" s="73" t="n"/>
      <c r="F7" s="73" t="n"/>
      <c r="G7" s="56" t="n"/>
      <c r="N7" s="50" t="n"/>
      <c r="O7" s="139" t="n"/>
      <c r="P7" s="139" t="n"/>
      <c r="Q7" s="139" t="n"/>
      <c r="R7" s="140" t="inlineStr">
        <is>
          <t>FEA</t>
        </is>
      </c>
    </row>
    <row r="8" ht="15.75" customHeight="1" thickBot="1">
      <c r="B8" s="55" t="n"/>
      <c r="C8" s="72" t="n"/>
      <c r="D8" s="62" t="n"/>
      <c r="E8" s="73" t="n"/>
      <c r="F8" s="73" t="n"/>
      <c r="G8" s="56" t="n"/>
      <c r="N8" s="50" t="n"/>
      <c r="O8" s="139" t="n"/>
      <c r="P8" s="139" t="n"/>
      <c r="Q8" s="139" t="n"/>
      <c r="R8" s="140" t="inlineStr">
        <is>
          <t>EMAG</t>
        </is>
      </c>
    </row>
    <row r="9" ht="15.75" customHeight="1" thickBot="1">
      <c r="B9" s="66" t="inlineStr">
        <is>
          <t>Configuração Inicial</t>
        </is>
      </c>
      <c r="C9" s="67" t="n"/>
      <c r="D9" s="70">
        <f>"+" &amp; $H9 &amp; " dias"</f>
        <v/>
      </c>
      <c r="E9" s="73" t="n"/>
      <c r="F9" s="73" t="n"/>
      <c r="G9" s="56" t="n"/>
      <c r="H9" t="n">
        <v>10</v>
      </c>
      <c r="K9" t="n">
        <v>6</v>
      </c>
      <c r="L9" t="n">
        <v>30</v>
      </c>
      <c r="M9" t="n">
        <v>20</v>
      </c>
      <c r="N9" s="141" t="n"/>
    </row>
    <row r="10" ht="15" customHeight="1">
      <c r="B10" s="63" t="n"/>
      <c r="C10" s="65" t="n"/>
      <c r="D10" s="73" t="n"/>
      <c r="E10" s="61" t="n"/>
      <c r="F10" s="73" t="n"/>
      <c r="G10" s="56" t="n"/>
    </row>
    <row r="11" ht="15" customHeight="1">
      <c r="B11" s="55" t="n"/>
      <c r="C11" s="73" t="n"/>
      <c r="D11" s="73" t="n"/>
      <c r="E11" s="62" t="n"/>
      <c r="F11" s="73" t="n"/>
      <c r="G11" s="56" t="n"/>
    </row>
    <row r="12" ht="15.75" customHeight="1" thickBot="1">
      <c r="B12" s="55" t="n"/>
      <c r="C12" s="73" t="n"/>
      <c r="D12" s="73" t="n"/>
      <c r="E12" s="62" t="n"/>
      <c r="F12" s="73" t="n"/>
      <c r="G12" s="56" t="n"/>
    </row>
    <row r="13" ht="15.75" customHeight="1" thickBot="1">
      <c r="B13" s="66" t="inlineStr">
        <is>
          <t>Simulações dos Cenários</t>
        </is>
      </c>
      <c r="C13" s="68" t="n"/>
      <c r="D13" s="68" t="n"/>
      <c r="E13" s="70">
        <f>"+" &amp; $H13 &amp; " dias"</f>
        <v/>
      </c>
      <c r="F13" s="73" t="n"/>
      <c r="G13" s="56" t="n"/>
      <c r="H13" t="n">
        <v>20</v>
      </c>
      <c r="K13" t="n">
        <v>8</v>
      </c>
      <c r="L13" t="n">
        <v>40</v>
      </c>
      <c r="M13" t="n">
        <v>30</v>
      </c>
    </row>
    <row r="14" ht="15" customHeight="1">
      <c r="B14" s="63" t="n"/>
      <c r="C14" s="73" t="n"/>
      <c r="D14" s="73" t="n"/>
      <c r="E14" s="73" t="n"/>
      <c r="F14" s="61" t="n"/>
      <c r="G14" s="56" t="n"/>
    </row>
    <row r="15" ht="15" customHeight="1">
      <c r="B15" s="55" t="n"/>
      <c r="C15" s="73" t="n"/>
      <c r="D15" s="73" t="n"/>
      <c r="E15" s="73" t="n"/>
      <c r="F15" s="62" t="n"/>
      <c r="G15" s="56" t="n"/>
    </row>
    <row r="16" ht="15.75" customHeight="1" thickBot="1">
      <c r="B16" s="55" t="n"/>
      <c r="C16" s="73" t="n"/>
      <c r="D16" s="73" t="n"/>
      <c r="E16" s="73" t="n"/>
      <c r="F16" s="62" t="n"/>
      <c r="G16" s="56" t="n"/>
    </row>
    <row r="17" ht="15.75" customHeight="1" thickBot="1">
      <c r="B17" s="66" t="inlineStr">
        <is>
          <t>Finalização</t>
        </is>
      </c>
      <c r="C17" s="68" t="n"/>
      <c r="D17" s="68" t="n"/>
      <c r="E17" s="68" t="n"/>
      <c r="F17" s="70">
        <f>"+" &amp; $H17 &amp; " dias"</f>
        <v/>
      </c>
      <c r="G17" s="56" t="n"/>
      <c r="H17" t="n">
        <v>10</v>
      </c>
      <c r="K17" t="n">
        <v>6</v>
      </c>
      <c r="L17" t="n">
        <v>30</v>
      </c>
      <c r="M17" t="n">
        <v>15</v>
      </c>
    </row>
    <row r="18" ht="15" customHeight="1">
      <c r="B18" s="55" t="n"/>
      <c r="C18" s="73" t="n"/>
      <c r="D18" s="73" t="n"/>
      <c r="E18" s="73" t="n"/>
      <c r="F18" s="73" t="n"/>
      <c r="G18" s="62" t="n"/>
    </row>
    <row r="19" ht="15" customHeight="1">
      <c r="B19" s="55" t="n"/>
      <c r="C19" s="73" t="n"/>
      <c r="D19" s="73" t="n"/>
      <c r="E19" s="73" t="n"/>
      <c r="F19" s="73" t="n"/>
      <c r="G19" s="62" t="n"/>
    </row>
    <row r="20" ht="15.75" customHeight="1" thickBot="1">
      <c r="B20" s="64" t="n"/>
      <c r="C20" s="73" t="n"/>
      <c r="D20" s="73" t="n"/>
      <c r="E20" s="73" t="n"/>
      <c r="F20" s="73" t="n"/>
      <c r="G20" s="62" t="n"/>
    </row>
    <row r="21" ht="15.75" customHeight="1" thickBot="1">
      <c r="B21" s="66" t="inlineStr">
        <is>
          <t>Reunião Final Online</t>
        </is>
      </c>
      <c r="C21" s="68" t="n"/>
      <c r="D21" s="68" t="n"/>
      <c r="E21" s="68" t="n"/>
      <c r="F21" s="68" t="n"/>
      <c r="G21" s="70">
        <f>"+" &amp; $H21 &amp; " dias"</f>
        <v/>
      </c>
      <c r="H21" t="n">
        <v>5</v>
      </c>
      <c r="K21" t="n">
        <v>4</v>
      </c>
      <c r="L21" t="n">
        <v>5</v>
      </c>
      <c r="M21" t="n">
        <v>3</v>
      </c>
    </row>
    <row r="22">
      <c r="H22">
        <f>SUM(H5:H21)</f>
        <v/>
      </c>
      <c r="J22" s="46" t="inlineStr">
        <is>
          <t>Total Horas</t>
        </is>
      </c>
      <c r="K22">
        <f>SUM(K4:K21)</f>
        <v/>
      </c>
      <c r="L22">
        <f>SUM(L4:L21)</f>
        <v/>
      </c>
      <c r="M22">
        <f>SUM(M4:M21)</f>
        <v/>
      </c>
    </row>
    <row r="23">
      <c r="J23" s="46" t="inlineStr">
        <is>
          <t>Valor HH</t>
        </is>
      </c>
      <c r="K23" s="141">
        <f>VLOOKUP(K3,'Tabela HH'!$H$4:$K$19,IF($O$3="Sim",4,3),0)</f>
        <v/>
      </c>
      <c r="L23" s="141">
        <f>VLOOKUP(L3,'Tabela HH'!$H$4:$K$19,IF($O$3="Sim",4,3),0)</f>
        <v/>
      </c>
      <c r="M23" s="138">
        <f>VLOOKUP(M3,'Tabela HH'!$H$4:$K$19,IF($O$3="Sim",4,3),0)</f>
        <v/>
      </c>
    </row>
    <row r="24">
      <c r="K24" s="138">
        <f>K22*VLOOKUP(K3,'Tabela HH'!$H$4:$K$19,IF($O$3="Sim",4,3),0)</f>
        <v/>
      </c>
      <c r="L24" s="138">
        <f>L22*VLOOKUP(L3,'Tabela HH'!$H$4:$K$19,IF($O$3="Sim",4,3),0)</f>
        <v/>
      </c>
      <c r="M24" s="138">
        <f>M22*VLOOKUP(M3,'Tabela HH'!$H$4:$K$19,IF($O$3="Sim",4,3),0)</f>
        <v/>
      </c>
    </row>
    <row r="25">
      <c r="J25" s="46" t="inlineStr">
        <is>
          <t>% Calculado</t>
        </is>
      </c>
      <c r="K25" s="142">
        <f>K24/$O$4*$O$6</f>
        <v/>
      </c>
      <c r="L25" s="142">
        <f>L24/$O$4*$O$6</f>
        <v/>
      </c>
      <c r="M25" s="143">
        <f>M24/$O$4*$O$6</f>
        <v/>
      </c>
      <c r="N25" s="143">
        <f>SUM(K25:M25)</f>
        <v/>
      </c>
    </row>
    <row r="26">
      <c r="C26" s="45" t="n"/>
    </row>
    <row r="27">
      <c r="B27" s="45" t="n"/>
      <c r="C27" s="45" t="n"/>
    </row>
    <row r="28">
      <c r="B28" s="45" t="n"/>
    </row>
    <row r="29">
      <c r="B29" s="45" t="n"/>
    </row>
    <row r="30" ht="15" customHeight="1">
      <c r="B30" s="48" t="n"/>
    </row>
  </sheetData>
  <dataValidations count="1">
    <dataValidation sqref="O3" showDropDown="0" showInputMessage="1" showErrorMessage="1" allowBlank="1" type="list">
      <formula1>SimNao</formula1>
    </dataValidation>
  </dataValidations>
  <pageMargins left="0.511811024" right="0.511811024" top="0.787401575" bottom="0.787401575" header="0.31496062" footer="0.31496062"/>
  <pageSetup orientation="portrait" paperSize="9"/>
</worksheet>
</file>

<file path=xl/worksheets/sheet3.xml><?xml version="1.0" encoding="utf-8"?>
<worksheet xmlns="http://schemas.openxmlformats.org/spreadsheetml/2006/main">
  <sheetPr>
    <outlinePr summaryBelow="1" summaryRight="1"/>
    <pageSetUpPr/>
  </sheetPr>
  <dimension ref="A1:K21"/>
  <sheetViews>
    <sheetView workbookViewId="0">
      <selection activeCell="I11" sqref="I11"/>
    </sheetView>
  </sheetViews>
  <sheetFormatPr baseColWidth="8" defaultRowHeight="12.75"/>
  <cols>
    <col width="16.140625" bestFit="1" customWidth="1" min="1" max="1"/>
    <col width="12" customWidth="1" min="2" max="2"/>
    <col width="13.28515625" customWidth="1" min="3" max="3"/>
    <col width="12.85546875" customWidth="1" min="4" max="4"/>
    <col width="10.5703125" bestFit="1" customWidth="1" min="5" max="5"/>
    <col width="9.85546875" bestFit="1" customWidth="1" min="8" max="8"/>
    <col width="12.140625" bestFit="1" customWidth="1" min="9" max="9"/>
    <col width="10.7109375" bestFit="1" customWidth="1" min="10" max="10"/>
    <col width="11.28515625" bestFit="1" customWidth="1" min="11" max="11"/>
  </cols>
  <sheetData>
    <row r="1">
      <c r="A1" s="114" t="inlineStr">
        <is>
          <t>HH Projetos Geral; Acima de 60 dias de duração e HH de Viagens</t>
        </is>
      </c>
    </row>
    <row r="2">
      <c r="A2" s="49" t="n"/>
      <c r="B2" s="50" t="inlineStr">
        <is>
          <t>CAD</t>
        </is>
      </c>
      <c r="C2" s="50" t="inlineStr">
        <is>
          <t>FEA</t>
        </is>
      </c>
      <c r="D2" s="50" t="inlineStr">
        <is>
          <t>CFD</t>
        </is>
      </c>
      <c r="E2" s="50" t="inlineStr">
        <is>
          <t>EMAG</t>
        </is>
      </c>
    </row>
    <row r="3">
      <c r="A3" s="50" t="inlineStr">
        <is>
          <t>Estagiário</t>
        </is>
      </c>
      <c r="B3" s="139" t="n">
        <v>15</v>
      </c>
      <c r="C3" s="139" t="n">
        <v>20</v>
      </c>
      <c r="D3" s="139" t="n">
        <v>30</v>
      </c>
      <c r="E3" s="139" t="n">
        <v>30</v>
      </c>
      <c r="H3" s="46" t="inlineStr">
        <is>
          <t>Equipe</t>
        </is>
      </c>
      <c r="I3" s="46" t="inlineStr">
        <is>
          <t>Senioridade</t>
        </is>
      </c>
      <c r="J3" s="46" t="inlineStr">
        <is>
          <t>HH Normal</t>
        </is>
      </c>
      <c r="K3" s="46" t="inlineStr">
        <is>
          <t>HH Urgente</t>
        </is>
      </c>
    </row>
    <row r="4">
      <c r="A4" s="50" t="inlineStr">
        <is>
          <t>Junior</t>
        </is>
      </c>
      <c r="B4" s="139" t="n">
        <v>30</v>
      </c>
      <c r="C4" s="139" t="n">
        <v>40</v>
      </c>
      <c r="D4" s="139" t="n">
        <v>50</v>
      </c>
      <c r="E4" s="139" t="n">
        <v>50</v>
      </c>
      <c r="G4" s="50" t="n"/>
      <c r="H4" s="45" t="inlineStr">
        <is>
          <t>Marcus</t>
        </is>
      </c>
      <c r="I4" s="45" t="inlineStr">
        <is>
          <t>Senior</t>
        </is>
      </c>
      <c r="J4" s="141">
        <f>VLOOKUP(I4,$A$3:$E$6,4,0)</f>
        <v/>
      </c>
      <c r="K4" s="141">
        <f>VLOOKUP(I4,$A$12:$E$15,4,0)</f>
        <v/>
      </c>
    </row>
    <row r="5">
      <c r="A5" s="50" t="inlineStr">
        <is>
          <t>Pleno</t>
        </is>
      </c>
      <c r="B5" s="139" t="n">
        <v>50</v>
      </c>
      <c r="C5" s="139" t="n">
        <v>60</v>
      </c>
      <c r="D5" s="139">
        <f>75</f>
        <v/>
      </c>
      <c r="E5" s="139" t="n">
        <v>75</v>
      </c>
      <c r="G5" s="50" t="n"/>
      <c r="H5" s="79" t="inlineStr">
        <is>
          <t>Matheus</t>
        </is>
      </c>
      <c r="I5" s="45" t="inlineStr">
        <is>
          <t>Pleno</t>
        </is>
      </c>
      <c r="J5" s="141">
        <f>VLOOKUP(I5,$A$3:$E$6,4,0)</f>
        <v/>
      </c>
      <c r="K5" s="141">
        <f>VLOOKUP(I5,$A$12:$E$15,4,0)</f>
        <v/>
      </c>
    </row>
    <row r="6">
      <c r="A6" s="50" t="inlineStr">
        <is>
          <t>Senior</t>
        </is>
      </c>
      <c r="B6" s="139" t="n">
        <v>80</v>
      </c>
      <c r="C6" s="139">
        <f>90</f>
        <v/>
      </c>
      <c r="D6" s="139">
        <f>100</f>
        <v/>
      </c>
      <c r="E6" s="139" t="n">
        <v>100</v>
      </c>
      <c r="G6" s="50" t="n"/>
      <c r="H6" s="45" t="inlineStr">
        <is>
          <t>Otávio</t>
        </is>
      </c>
      <c r="I6" s="45" t="inlineStr">
        <is>
          <t>Pleno</t>
        </is>
      </c>
      <c r="J6" s="141">
        <f>VLOOKUP(I6,$A$3:$E$6,4,0)</f>
        <v/>
      </c>
      <c r="K6" s="141">
        <f>VLOOKUP(I6,$A$12:$E$15,4,0)</f>
        <v/>
      </c>
    </row>
    <row r="7">
      <c r="G7" s="50" t="n"/>
      <c r="H7" s="45" t="inlineStr">
        <is>
          <t>Humberto</t>
        </is>
      </c>
      <c r="I7" s="45" t="inlineStr">
        <is>
          <t>Junior</t>
        </is>
      </c>
      <c r="J7" s="141">
        <f>VLOOKUP(I7,$A$3:$E$6,4,0)</f>
        <v/>
      </c>
      <c r="K7" s="141">
        <f>VLOOKUP(I7,$A$12:$E$15,4,0)</f>
        <v/>
      </c>
    </row>
    <row r="8">
      <c r="G8" s="50" t="n"/>
      <c r="H8" s="45" t="inlineStr">
        <is>
          <t>João</t>
        </is>
      </c>
      <c r="I8" s="45" t="inlineStr">
        <is>
          <t>Estagiário</t>
        </is>
      </c>
      <c r="J8" s="141">
        <f>VLOOKUP(I8,$A$3:$E$6,4,0)</f>
        <v/>
      </c>
      <c r="K8" s="141">
        <f>VLOOKUP(I8,$A$12:$E$15,4,0)</f>
        <v/>
      </c>
    </row>
    <row r="9">
      <c r="A9" s="114" t="inlineStr">
        <is>
          <t>HH Projetos Geral; Abaixo de 60 dias de duração ou urgentes</t>
        </is>
      </c>
      <c r="G9" s="50" t="n"/>
      <c r="H9" s="45" t="inlineStr">
        <is>
          <t>Vitor</t>
        </is>
      </c>
      <c r="I9" s="45" t="inlineStr">
        <is>
          <t>Estagiário</t>
        </is>
      </c>
      <c r="J9" s="141">
        <f>VLOOKUP(I9,$A$3:$E$6,4,0)</f>
        <v/>
      </c>
      <c r="K9" s="141">
        <f>VLOOKUP(I9,$A$12:$E$15,4,0)</f>
        <v/>
      </c>
    </row>
    <row r="10">
      <c r="A10" s="114" t="n"/>
      <c r="B10" s="114" t="n"/>
      <c r="C10" s="114" t="n"/>
      <c r="D10" s="114" t="n"/>
      <c r="E10" s="114" t="n"/>
      <c r="G10" s="50" t="n"/>
      <c r="H10" s="45" t="inlineStr">
        <is>
          <t>Gabriel</t>
        </is>
      </c>
      <c r="I10" s="45" t="inlineStr">
        <is>
          <t>Junior</t>
        </is>
      </c>
      <c r="J10" s="141">
        <f>VLOOKUP(I10,$A$3:$E$6,4,0)</f>
        <v/>
      </c>
      <c r="K10" s="141">
        <f>VLOOKUP(I10,$A$12:$E$15,4,0)</f>
        <v/>
      </c>
    </row>
    <row r="11">
      <c r="A11" s="49" t="n"/>
      <c r="B11" s="50" t="inlineStr">
        <is>
          <t>CAD</t>
        </is>
      </c>
      <c r="C11" s="50" t="inlineStr">
        <is>
          <t>FEA</t>
        </is>
      </c>
      <c r="D11" s="50" t="inlineStr">
        <is>
          <t>CFD</t>
        </is>
      </c>
      <c r="E11" s="50" t="inlineStr">
        <is>
          <t>EMAG</t>
        </is>
      </c>
      <c r="G11" s="114" t="n"/>
      <c r="H11" s="79" t="inlineStr">
        <is>
          <t>Vinicius</t>
        </is>
      </c>
      <c r="I11" s="45" t="inlineStr">
        <is>
          <t>Estagiário</t>
        </is>
      </c>
      <c r="J11" s="141">
        <f>VLOOKUP(I11,$A$3:$E$6,4,0)</f>
        <v/>
      </c>
      <c r="K11" s="141">
        <f>VLOOKUP(I11,$A$12:$E$15,4,0)</f>
        <v/>
      </c>
    </row>
    <row r="12">
      <c r="A12" s="50" t="inlineStr">
        <is>
          <t>Estagiário</t>
        </is>
      </c>
      <c r="B12" s="139">
        <f>1.4*B3</f>
        <v/>
      </c>
      <c r="C12" s="139">
        <f>1.4*C3</f>
        <v/>
      </c>
      <c r="D12" s="139">
        <f>1.4*D3</f>
        <v/>
      </c>
      <c r="E12" s="139">
        <f>1.4*E3</f>
        <v/>
      </c>
      <c r="G12" s="50" t="n"/>
      <c r="H12" s="45" t="inlineStr">
        <is>
          <t>Guerra</t>
        </is>
      </c>
      <c r="I12" s="45" t="inlineStr">
        <is>
          <t>Externo</t>
        </is>
      </c>
      <c r="J12" s="141" t="n">
        <v>120</v>
      </c>
      <c r="K12" s="141" t="n">
        <v>120</v>
      </c>
    </row>
    <row r="13">
      <c r="A13" s="50" t="inlineStr">
        <is>
          <t>Junior</t>
        </is>
      </c>
      <c r="B13" s="139">
        <f>1.4*B4</f>
        <v/>
      </c>
      <c r="C13" s="139">
        <f>1.4*C4</f>
        <v/>
      </c>
      <c r="D13" s="139">
        <f>1.4*D4</f>
        <v/>
      </c>
      <c r="E13" s="139">
        <f>1.4*E4</f>
        <v/>
      </c>
      <c r="G13" s="50" t="n"/>
      <c r="H13" s="45" t="inlineStr">
        <is>
          <t>Pedro</t>
        </is>
      </c>
      <c r="I13" s="45" t="inlineStr">
        <is>
          <t>Pleno</t>
        </is>
      </c>
      <c r="J13" s="141">
        <f>VLOOKUP(I13,$A$3:$E$6,5,0)</f>
        <v/>
      </c>
      <c r="K13" s="141">
        <f>VLOOKUP(I13,$A$12:$E$15,5,0)</f>
        <v/>
      </c>
    </row>
    <row r="14">
      <c r="A14" s="50" t="inlineStr">
        <is>
          <t>Pleno</t>
        </is>
      </c>
      <c r="B14" s="139">
        <f>1.4*B5</f>
        <v/>
      </c>
      <c r="C14" s="139">
        <f>1.4*C5</f>
        <v/>
      </c>
      <c r="D14" s="139">
        <f>1.4*D5</f>
        <v/>
      </c>
      <c r="E14" s="139">
        <f>1.4*E5</f>
        <v/>
      </c>
      <c r="G14" s="50" t="n"/>
      <c r="H14" s="45" t="inlineStr">
        <is>
          <t>Diego</t>
        </is>
      </c>
      <c r="I14" s="45" t="inlineStr">
        <is>
          <t>Junior</t>
        </is>
      </c>
      <c r="J14" s="141">
        <f>VLOOKUP(I14,$A$3:$E$6,4,0)</f>
        <v/>
      </c>
      <c r="K14" s="141">
        <f>VLOOKUP(I14,$A$12:$E$15,4,0)</f>
        <v/>
      </c>
    </row>
    <row r="15">
      <c r="A15" s="50" t="inlineStr">
        <is>
          <t>Senior</t>
        </is>
      </c>
      <c r="B15" s="139">
        <f>1.4*B6</f>
        <v/>
      </c>
      <c r="C15" s="139">
        <f>1.4*C6</f>
        <v/>
      </c>
      <c r="D15" s="139">
        <f>1.4*D6</f>
        <v/>
      </c>
      <c r="E15" s="139">
        <f>1.4*E6</f>
        <v/>
      </c>
      <c r="G15" s="50" t="n"/>
      <c r="H15" s="45" t="inlineStr">
        <is>
          <t>Leandro</t>
        </is>
      </c>
      <c r="I15" s="45" t="inlineStr">
        <is>
          <t>Senior</t>
        </is>
      </c>
      <c r="J15" s="141">
        <f>VLOOKUP(I15,$A$3:$E$6,3,0)</f>
        <v/>
      </c>
      <c r="K15" s="141">
        <f>VLOOKUP(I15,$A$12:$E$15,3,0)</f>
        <v/>
      </c>
    </row>
    <row r="16">
      <c r="H16" s="45" t="inlineStr">
        <is>
          <t>Simas</t>
        </is>
      </c>
      <c r="I16" s="45" t="inlineStr">
        <is>
          <t>Junior</t>
        </is>
      </c>
      <c r="J16" s="141">
        <f>VLOOKUP(I16,$A$3:$E$6,3,0)</f>
        <v/>
      </c>
      <c r="K16" s="141">
        <f>VLOOKUP(I16,$A$12:$E$15,3,0)</f>
        <v/>
      </c>
    </row>
    <row r="17">
      <c r="H17" s="79" t="inlineStr">
        <is>
          <t>Alvaro</t>
        </is>
      </c>
      <c r="I17" s="45" t="inlineStr">
        <is>
          <t>Estagiário</t>
        </is>
      </c>
      <c r="J17" s="141">
        <f>VLOOKUP(I17,$A$3:$E$6,3,0)</f>
        <v/>
      </c>
      <c r="K17" s="141">
        <f>VLOOKUP(I17,$A$12:$E$15,3,0)</f>
        <v/>
      </c>
    </row>
    <row r="18">
      <c r="A18" s="115" t="inlineStr">
        <is>
          <t>Consultores Externos</t>
        </is>
      </c>
      <c r="H18" s="45" t="inlineStr">
        <is>
          <t>Burato</t>
        </is>
      </c>
      <c r="I18" s="45" t="inlineStr">
        <is>
          <t>Externo</t>
        </is>
      </c>
      <c r="J18" s="141" t="n">
        <v>150</v>
      </c>
      <c r="K18" s="141" t="n">
        <v>150</v>
      </c>
    </row>
    <row r="19">
      <c r="A19" s="46" t="inlineStr">
        <is>
          <t>Carlos Burato</t>
        </is>
      </c>
      <c r="B19" s="141" t="n">
        <v>150</v>
      </c>
      <c r="H19" s="45" t="inlineStr">
        <is>
          <t xml:space="preserve">Marcio </t>
        </is>
      </c>
      <c r="I19" s="45" t="inlineStr">
        <is>
          <t>Externo</t>
        </is>
      </c>
      <c r="J19" s="141" t="n">
        <v>100</v>
      </c>
      <c r="K19" s="141" t="n">
        <v>100</v>
      </c>
    </row>
    <row r="20">
      <c r="A20" s="46" t="inlineStr">
        <is>
          <t>Marcelo Guerra</t>
        </is>
      </c>
      <c r="B20" s="141" t="n">
        <v>120</v>
      </c>
    </row>
    <row r="21">
      <c r="A21" s="46" t="inlineStr">
        <is>
          <t>Marcio Demétrio</t>
        </is>
      </c>
      <c r="B21" s="141" t="n">
        <v>100</v>
      </c>
    </row>
  </sheetData>
  <mergeCells count="3">
    <mergeCell ref="A1:E1"/>
    <mergeCell ref="A9:E9"/>
    <mergeCell ref="A18:E18"/>
  </mergeCell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Marcus Reis</dc:creator>
  <dcterms:created xsi:type="dcterms:W3CDTF">2000-12-10T19:04:38Z</dcterms:created>
  <dcterms:modified xsi:type="dcterms:W3CDTF">2026-07-17T15:33:15Z</dcterms:modified>
  <cp:lastModifiedBy>Marcus Castro Neves</cp:lastModifiedBy>
  <cp:lastPrinted>2023-07-19T09:58:00Z</cp:lastPrinted>
</cp:coreProperties>
</file>