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Proposta" sheetId="1" state="visible" r:id="rId1"/>
    <sheet xmlns:r="http://schemas.openxmlformats.org/officeDocument/2006/relationships" name="Cronograma" sheetId="2" state="visible" r:id="rId2"/>
    <sheet xmlns:r="http://schemas.openxmlformats.org/officeDocument/2006/relationships" name="Tabela HH" sheetId="3" state="visible" r:id="rId3"/>
  </sheets>
  <definedNames>
    <definedName name="SimNao">Cronograma!$R$2:$R$3</definedName>
    <definedName name="_xlnm.Print_Area" localSheetId="0">'Proposta'!$B$1:$G$124</definedName>
  </definedNames>
  <calcPr calcId="191029" fullCalcOnLoad="1"/>
</workbook>
</file>

<file path=xl/styles.xml><?xml version="1.0" encoding="utf-8"?>
<styleSheet xmlns="http://schemas.openxmlformats.org/spreadsheetml/2006/main">
  <numFmts count="3">
    <numFmt numFmtId="164" formatCode="_-* #,##0_-;\-* #,##0_-;_-* &quot;-&quot;??_-;_-@_-"/>
    <numFmt numFmtId="165" formatCode="_-&quot;R$&quot;\ * #,##0.00_-;\-&quot;R$&quot;\ * #,##0.00_-;_-&quot;R$&quot;\ * &quot;-&quot;??_-;_-@_-"/>
    <numFmt numFmtId="166" formatCode="0.0%"/>
  </numFmts>
  <fonts count="26">
    <font>
      <name val="Arial"/>
      <sz val="10"/>
    </font>
    <font>
      <name val="Calibri"/>
      <family val="2"/>
      <color theme="1"/>
      <sz val="11"/>
      <scheme val="minor"/>
    </font>
    <font>
      <name val="Calibri"/>
      <family val="2"/>
      <color theme="1"/>
      <sz val="11"/>
      <scheme val="minor"/>
    </font>
    <font>
      <name val="Calibri"/>
      <family val="2"/>
      <b val="1"/>
      <color rgb="FF3F3F3F"/>
      <sz val="11"/>
      <scheme val="minor"/>
    </font>
    <font>
      <name val="Arial"/>
      <family val="2"/>
      <sz val="10"/>
    </font>
    <font>
      <name val="Arial"/>
      <family val="2"/>
      <sz val="10"/>
    </font>
    <font>
      <name val="Calibri"/>
      <family val="2"/>
      <sz val="10"/>
      <scheme val="minor"/>
    </font>
    <font>
      <name val="Calibri"/>
      <family val="2"/>
      <sz val="9"/>
      <scheme val="minor"/>
    </font>
    <font>
      <name val="Calibri"/>
      <family val="2"/>
      <b val="1"/>
      <sz val="10"/>
      <scheme val="minor"/>
    </font>
    <font>
      <name val="Calibri"/>
      <family val="2"/>
      <b val="1"/>
      <i val="1"/>
      <sz val="10"/>
      <scheme val="minor"/>
    </font>
    <font>
      <name val="Calibri"/>
      <family val="2"/>
      <i val="1"/>
      <sz val="10"/>
      <scheme val="minor"/>
    </font>
    <font>
      <name val="Arial"/>
      <family val="2"/>
      <color theme="10"/>
      <sz val="10"/>
      <u val="single"/>
    </font>
    <font>
      <name val="Calibri"/>
      <family val="2"/>
      <color theme="0" tint="-0.499984740745262"/>
      <sz val="10"/>
      <scheme val="minor"/>
    </font>
    <font>
      <name val="Calibri"/>
      <family val="2"/>
      <color theme="10"/>
      <sz val="10"/>
      <scheme val="minor"/>
    </font>
    <font>
      <name val="Calibri"/>
      <family val="2"/>
      <b val="1"/>
      <sz val="10"/>
      <u val="single"/>
      <scheme val="minor"/>
    </font>
    <font>
      <name val="Calibri"/>
      <family val="2"/>
      <b val="1"/>
      <sz val="18"/>
      <scheme val="minor"/>
    </font>
    <font>
      <name val="Calibri"/>
      <family val="2"/>
      <i val="1"/>
      <color theme="1"/>
      <sz val="11"/>
      <scheme val="minor"/>
    </font>
    <font>
      <name val="Arial"/>
      <family val="2"/>
      <b val="1"/>
      <sz val="10"/>
    </font>
    <font>
      <name val="Calibri"/>
      <family val="2"/>
      <b val="1"/>
      <i val="1"/>
      <color theme="1"/>
      <sz val="11"/>
      <scheme val="minor"/>
    </font>
    <font>
      <name val="Calibri"/>
      <family val="2"/>
      <b val="1"/>
      <color theme="0"/>
      <sz val="11"/>
      <scheme val="minor"/>
    </font>
    <font>
      <name val="Calibri"/>
      <family val="2"/>
      <color theme="0"/>
      <sz val="11"/>
      <scheme val="minor"/>
    </font>
    <font>
      <name val="Calibri"/>
      <family val="2"/>
      <b val="1"/>
      <i val="1"/>
      <color theme="0"/>
      <sz val="11"/>
      <scheme val="minor"/>
    </font>
    <font>
      <name val="Calibri"/>
      <family val="2"/>
      <b val="1"/>
      <sz val="11"/>
      <scheme val="minor"/>
    </font>
    <font>
      <name val="Arial"/>
      <family val="2"/>
      <sz val="10"/>
    </font>
    <font>
      <name val="Calibri"/>
      <family val="2"/>
      <b val="1"/>
      <color theme="0"/>
      <sz val="12"/>
      <scheme val="minor"/>
    </font>
    <font>
      <name val="Calibri"/>
      <family val="2"/>
      <b val="1"/>
      <color theme="0"/>
      <sz val="10"/>
      <scheme val="minor"/>
    </font>
  </fonts>
  <fills count="8">
    <fill>
      <patternFill/>
    </fill>
    <fill>
      <patternFill patternType="gray125"/>
    </fill>
    <fill>
      <patternFill patternType="solid">
        <fgColor indexed="9"/>
        <bgColor indexed="64"/>
      </patternFill>
    </fill>
    <fill>
      <patternFill patternType="solid">
        <fgColor theme="0"/>
        <bgColor indexed="64"/>
      </patternFill>
    </fill>
    <fill>
      <patternFill patternType="solid">
        <fgColor rgb="FFF2F2F2"/>
      </patternFill>
    </fill>
    <fill>
      <patternFill patternType="solid">
        <fgColor rgb="FF242834"/>
        <bgColor indexed="64"/>
      </patternFill>
    </fill>
    <fill>
      <patternFill patternType="solid">
        <fgColor rgb="FF01436C"/>
        <bgColor indexed="64"/>
      </patternFill>
    </fill>
    <fill>
      <patternFill patternType="solid">
        <fgColor rgb="FF02B1FB"/>
        <bgColor indexed="64"/>
      </patternFill>
    </fill>
  </fills>
  <borders count="43">
    <border>
      <left/>
      <right/>
      <top/>
      <bottom/>
      <diagonal/>
    </border>
    <border>
      <left style="thin">
        <color auto="1"/>
      </left>
      <right style="thin">
        <color auto="1"/>
      </right>
      <top/>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3F3F3F"/>
      </right>
      <top style="thin">
        <color indexed="64"/>
      </top>
      <bottom style="thin">
        <color indexed="64"/>
      </bottom>
      <diagonal/>
    </border>
    <border>
      <left style="thin">
        <color rgb="FF3F3F3F"/>
      </left>
      <right style="thin">
        <color rgb="FF3F3F3F"/>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rgb="FF3F3F3F"/>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ck">
        <color indexed="64"/>
      </top>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right style="medium">
        <color indexed="64"/>
      </right>
      <top style="thick">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1436C"/>
      </left>
      <right style="medium">
        <color rgb="FF01436C"/>
      </right>
      <top style="medium">
        <color rgb="FF01436C"/>
      </top>
      <bottom style="medium">
        <color rgb="FF01436C"/>
      </bottom>
      <diagonal/>
    </border>
    <border>
      <left style="thin">
        <color indexed="64"/>
      </left>
      <right/>
      <top/>
      <bottom/>
      <diagonal/>
    </border>
    <border>
      <left style="thin">
        <color indexed="64"/>
      </left>
      <right style="thin">
        <color indexed="64"/>
      </right>
      <top/>
      <bottom/>
      <diagonal/>
    </border>
    <border>
      <left style="thin">
        <color indexed="64"/>
      </left>
      <right style="thin">
        <color rgb="FF3F3F3F"/>
      </right>
      <top style="thin">
        <color indexed="64"/>
      </top>
      <bottom style="thin">
        <color indexed="64"/>
      </bottom>
      <diagonal/>
    </border>
    <border>
      <left/>
      <right/>
      <top style="thin">
        <color indexed="64"/>
      </top>
      <bottom/>
      <diagonal/>
    </border>
    <border>
      <left/>
      <right style="thin">
        <color rgb="FF3F3F3F"/>
      </right>
      <top style="thin">
        <color indexed="64"/>
      </top>
      <bottom/>
      <diagonal/>
    </border>
    <border>
      <left style="thin">
        <color indexed="64"/>
      </left>
      <right style="thin">
        <color auto="1"/>
      </right>
      <top style="thin">
        <color indexed="64"/>
      </top>
      <bottom/>
      <diagonal/>
    </border>
    <border>
      <left/>
      <right style="thin">
        <color auto="1"/>
      </right>
      <top style="thin">
        <color indexed="64"/>
      </top>
      <bottom/>
      <diagonal/>
    </border>
    <border>
      <left/>
      <right style="thin">
        <color indexed="64"/>
      </right>
      <top/>
      <bottom/>
      <diagonal/>
    </border>
    <border>
      <left/>
      <right/>
      <top style="thin">
        <color rgb="FF3F3F3F"/>
      </top>
      <bottom/>
      <diagonal/>
    </border>
    <border>
      <left/>
      <right style="thin">
        <color rgb="FF3F3F3F"/>
      </right>
      <top style="thin">
        <color rgb="FF3F3F3F"/>
      </top>
      <bottom/>
      <diagonal/>
    </border>
  </borders>
  <cellStyleXfs count="11">
    <xf numFmtId="0" fontId="0" fillId="0" borderId="0"/>
    <xf numFmtId="0" fontId="3" fillId="4" borderId="3"/>
    <xf numFmtId="44" fontId="23" fillId="0" borderId="0"/>
    <xf numFmtId="43" fontId="23" fillId="0" borderId="0"/>
    <xf numFmtId="9" fontId="23" fillId="0" borderId="0"/>
    <xf numFmtId="43" fontId="23" fillId="0" borderId="0"/>
    <xf numFmtId="0" fontId="11" fillId="0" borderId="0"/>
    <xf numFmtId="0" fontId="2" fillId="0" borderId="0"/>
    <xf numFmtId="44" fontId="2" fillId="0" borderId="0"/>
    <xf numFmtId="9" fontId="2" fillId="0" borderId="0"/>
    <xf numFmtId="9" fontId="23" fillId="0" borderId="0"/>
  </cellStyleXfs>
  <cellXfs count="143">
    <xf numFmtId="0" fontId="0" fillId="0" borderId="0" pivotButton="0" quotePrefix="0" xfId="0"/>
    <xf numFmtId="0" fontId="6" fillId="0" borderId="0" pivotButton="0" quotePrefix="0" xfId="0"/>
    <xf numFmtId="0" fontId="8" fillId="2" borderId="0" applyAlignment="1" pivotButton="0" quotePrefix="0" xfId="0">
      <alignment horizontal="left"/>
    </xf>
    <xf numFmtId="0" fontId="8" fillId="2" borderId="0" applyAlignment="1" pivotButton="0" quotePrefix="0" xfId="0">
      <alignment horizontal="center"/>
    </xf>
    <xf numFmtId="0" fontId="9" fillId="3" borderId="0" applyAlignment="1" pivotButton="0" quotePrefix="0" xfId="0">
      <alignment horizontal="left" wrapText="1"/>
    </xf>
    <xf numFmtId="0" fontId="10" fillId="2" borderId="0" applyAlignment="1" pivotButton="0" quotePrefix="0" xfId="0">
      <alignment horizontal="left" wrapText="1"/>
    </xf>
    <xf numFmtId="0" fontId="6" fillId="0" borderId="0" applyAlignment="1" pivotButton="0" quotePrefix="0" xfId="0">
      <alignment horizont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8" fillId="3" borderId="0" pivotButton="0" quotePrefix="0" xfId="0"/>
    <xf numFmtId="0" fontId="6" fillId="3" borderId="0" pivotButton="0" quotePrefix="0" xfId="0"/>
    <xf numFmtId="0" fontId="6" fillId="3" borderId="0" applyAlignment="1" pivotButton="0" quotePrefix="0" xfId="0">
      <alignment horizontal="center"/>
    </xf>
    <xf numFmtId="3" fontId="6" fillId="0" borderId="0" applyAlignment="1" pivotButton="0" quotePrefix="0" xfId="0">
      <alignment horizontal="center"/>
    </xf>
    <xf numFmtId="164" fontId="6" fillId="0" borderId="0" applyAlignment="1" pivotButton="0" quotePrefix="0" xfId="3">
      <alignment horizontal="center"/>
    </xf>
    <xf numFmtId="0" fontId="8" fillId="0" borderId="0" applyAlignment="1" pivotButton="0" quotePrefix="0" xfId="0">
      <alignment wrapText="1"/>
    </xf>
    <xf numFmtId="0" fontId="8" fillId="0" borderId="0" applyAlignment="1" pivotButton="0" quotePrefix="0" xfId="0">
      <alignment horizontal="center" wrapText="1"/>
    </xf>
    <xf numFmtId="0" fontId="7" fillId="0" borderId="0" pivotButton="0" quotePrefix="0" xfId="0"/>
    <xf numFmtId="165" fontId="6" fillId="0" borderId="0" applyAlignment="1" pivotButton="0" quotePrefix="0" xfId="2">
      <alignment vertical="center"/>
    </xf>
    <xf numFmtId="165" fontId="6" fillId="0" borderId="0" pivotButton="0" quotePrefix="0" xfId="2"/>
    <xf numFmtId="0" fontId="8" fillId="0" borderId="2" applyAlignment="1" pivotButton="0" quotePrefix="1" xfId="0">
      <alignment vertical="center" wrapText="1"/>
    </xf>
    <xf numFmtId="49" fontId="6" fillId="0" borderId="8" applyAlignment="1" pivotButton="0" quotePrefix="1" xfId="0">
      <alignment horizontal="left" vertical="center" wrapText="1"/>
    </xf>
    <xf numFmtId="0" fontId="6" fillId="0" borderId="1" applyAlignment="1" pivotButton="0" quotePrefix="0" xfId="0">
      <alignment horizontal="center" vertical="center"/>
    </xf>
    <xf numFmtId="0" fontId="6" fillId="0" borderId="2" applyAlignment="1" pivotButton="0" quotePrefix="0" xfId="0">
      <alignment horizontal="center" vertical="center"/>
    </xf>
    <xf numFmtId="165" fontId="6" fillId="0" borderId="1" applyAlignment="1" pivotButton="0" quotePrefix="0" xfId="2">
      <alignment horizontal="center" vertical="center"/>
    </xf>
    <xf numFmtId="165" fontId="6" fillId="0" borderId="8" applyAlignment="1" pivotButton="0" quotePrefix="0" xfId="2">
      <alignment horizontal="center" vertical="center"/>
    </xf>
    <xf numFmtId="49" fontId="6" fillId="0" borderId="0" applyAlignment="1" pivotButton="0" quotePrefix="1" xfId="0">
      <alignment horizontal="left" vertical="center" wrapText="1"/>
    </xf>
    <xf numFmtId="0" fontId="6" fillId="0" borderId="0" applyAlignment="1" pivotButton="0" quotePrefix="0" xfId="0">
      <alignment horizontal="right" vertical="center"/>
    </xf>
    <xf numFmtId="165" fontId="6" fillId="0" borderId="0" applyAlignment="1" pivotButton="0" quotePrefix="0" xfId="2">
      <alignment horizontal="center" vertical="center"/>
    </xf>
    <xf numFmtId="0" fontId="6" fillId="3" borderId="0" applyAlignment="1" pivotButton="0" quotePrefix="0" xfId="0">
      <alignment horizontal="left"/>
    </xf>
    <xf numFmtId="0" fontId="12" fillId="0" borderId="0" applyAlignment="1" pivotButton="0" quotePrefix="0" xfId="0">
      <alignment horizontal="left"/>
    </xf>
    <xf numFmtId="0" fontId="12" fillId="3" borderId="0" applyAlignment="1" pivotButton="0" quotePrefix="0" xfId="0">
      <alignment horizontal="left"/>
    </xf>
    <xf numFmtId="0" fontId="12" fillId="3" borderId="0" applyAlignment="1" pivotButton="0" quotePrefix="0" xfId="0">
      <alignment horizontal="left" wrapText="1"/>
    </xf>
    <xf numFmtId="0" fontId="6" fillId="3" borderId="0" applyAlignment="1" pivotButton="0" quotePrefix="1" xfId="0">
      <alignment horizontal="left"/>
    </xf>
    <xf numFmtId="0" fontId="14" fillId="3" borderId="0" pivotButton="0" quotePrefix="0" xfId="0"/>
    <xf numFmtId="0" fontId="6" fillId="0" borderId="2" applyAlignment="1" pivotButton="0" quotePrefix="1" xfId="0">
      <alignment horizontal="left" vertical="center" wrapText="1"/>
    </xf>
    <xf numFmtId="0" fontId="6" fillId="0" borderId="2" applyAlignment="1" pivotButton="0" quotePrefix="1" xfId="0">
      <alignment horizontal="left" vertical="center"/>
    </xf>
    <xf numFmtId="165" fontId="6" fillId="0" borderId="8" applyAlignment="1" pivotButton="0" quotePrefix="0" xfId="2">
      <alignment horizontal="left" vertical="center"/>
    </xf>
    <xf numFmtId="165" fontId="6" fillId="0" borderId="0" applyAlignment="1" pivotButton="0" quotePrefix="0" xfId="2">
      <alignment horizontal="left" vertical="center"/>
    </xf>
    <xf numFmtId="0" fontId="6" fillId="0" borderId="16" applyAlignment="1" pivotButton="0" quotePrefix="1" xfId="0">
      <alignment horizontal="left" vertical="center" wrapText="1"/>
    </xf>
    <xf numFmtId="0" fontId="6" fillId="0" borderId="17" applyAlignment="1" pivotButton="0" quotePrefix="1" xfId="0">
      <alignment horizontal="left" vertical="center" wrapText="1"/>
    </xf>
    <xf numFmtId="0" fontId="6" fillId="0" borderId="18" applyAlignment="1" pivotButton="0" quotePrefix="1" xfId="0">
      <alignment horizontal="left" vertical="center" wrapText="1"/>
    </xf>
    <xf numFmtId="0" fontId="6" fillId="0" borderId="8" applyAlignment="1" pivotButton="0" quotePrefix="1" xfId="0">
      <alignment horizontal="left" vertical="center" wrapText="1"/>
    </xf>
    <xf numFmtId="0" fontId="6" fillId="0" borderId="2" applyAlignment="1" pivotButton="0" quotePrefix="1" xfId="0">
      <alignment horizontal="center" vertical="center"/>
    </xf>
    <xf numFmtId="0" fontId="6" fillId="0" borderId="8" applyAlignment="1" pivotButton="0" quotePrefix="1" xfId="0">
      <alignment horizontal="center" vertical="center"/>
    </xf>
    <xf numFmtId="0" fontId="4" fillId="0" borderId="0" pivotButton="0" quotePrefix="0" xfId="0"/>
    <xf numFmtId="0" fontId="17" fillId="0" borderId="0" pivotButton="0" quotePrefix="0" xfId="0"/>
    <xf numFmtId="165" fontId="0" fillId="0" borderId="0" pivotButton="0" quotePrefix="0" xfId="2"/>
    <xf numFmtId="0" fontId="1" fillId="0" borderId="0" applyAlignment="1" pivotButton="0" quotePrefix="0" xfId="7">
      <alignment horizontal="left" indent="1"/>
    </xf>
    <xf numFmtId="0" fontId="0" fillId="0" borderId="0" applyAlignment="1" pivotButton="0" quotePrefix="0" xfId="0">
      <alignment vertical="center"/>
    </xf>
    <xf numFmtId="0" fontId="17" fillId="0" borderId="0" applyAlignment="1" pivotButton="0" quotePrefix="0" xfId="0">
      <alignment vertical="center"/>
    </xf>
    <xf numFmtId="165" fontId="0" fillId="0" borderId="0" applyAlignment="1" pivotButton="0" quotePrefix="0" xfId="2">
      <alignment vertical="center"/>
    </xf>
    <xf numFmtId="165" fontId="0" fillId="0" borderId="0" pivotButton="0" quotePrefix="0" xfId="0"/>
    <xf numFmtId="0" fontId="2" fillId="3" borderId="19" pivotButton="0" quotePrefix="0" xfId="7"/>
    <xf numFmtId="0" fontId="2" fillId="3" borderId="22" pivotButton="0" quotePrefix="0" xfId="7"/>
    <xf numFmtId="0" fontId="16" fillId="3" borderId="23" applyAlignment="1" pivotButton="0" quotePrefix="0" xfId="7">
      <alignment horizontal="left" vertical="center" indent="1"/>
    </xf>
    <xf numFmtId="0" fontId="2" fillId="3" borderId="24" pivotButton="0" quotePrefix="0" xfId="7"/>
    <xf numFmtId="0" fontId="19" fillId="5" borderId="26" applyAlignment="1" pivotButton="0" quotePrefix="0" xfId="7">
      <alignment horizontal="center"/>
    </xf>
    <xf numFmtId="0" fontId="19" fillId="5" borderId="27" applyAlignment="1" pivotButton="0" quotePrefix="0" xfId="7">
      <alignment horizontal="center" vertical="center"/>
    </xf>
    <xf numFmtId="0" fontId="19" fillId="5" borderId="20" applyAlignment="1" pivotButton="0" quotePrefix="0" xfId="7">
      <alignment horizontal="center" vertical="center"/>
    </xf>
    <xf numFmtId="0" fontId="19" fillId="5" borderId="21" applyAlignment="1" pivotButton="0" quotePrefix="0" xfId="7">
      <alignment horizontal="center" vertical="center"/>
    </xf>
    <xf numFmtId="0" fontId="2" fillId="6" borderId="30" pivotButton="0" quotePrefix="0" xfId="7"/>
    <xf numFmtId="0" fontId="2" fillId="6" borderId="31" pivotButton="0" quotePrefix="0" xfId="7"/>
    <xf numFmtId="0" fontId="16" fillId="3" borderId="26" applyAlignment="1" pivotButton="0" quotePrefix="0" xfId="7">
      <alignment horizontal="left" vertical="center" indent="1"/>
    </xf>
    <xf numFmtId="0" fontId="16" fillId="3" borderId="25" applyAlignment="1" pivotButton="0" quotePrefix="0" xfId="7">
      <alignment horizontal="left" vertical="center" indent="1"/>
    </xf>
    <xf numFmtId="0" fontId="2" fillId="3" borderId="27" pivotButton="0" quotePrefix="0" xfId="7"/>
    <xf numFmtId="0" fontId="21" fillId="7" borderId="28" applyAlignment="1" pivotButton="0" quotePrefix="0" xfId="7">
      <alignment horizontal="left" vertical="center" indent="1"/>
    </xf>
    <xf numFmtId="0" fontId="18" fillId="7" borderId="29" applyAlignment="1" pivotButton="0" quotePrefix="0" xfId="7">
      <alignment horizontal="left" vertical="center" indent="1"/>
    </xf>
    <xf numFmtId="0" fontId="20" fillId="7" borderId="29" pivotButton="0" quotePrefix="0" xfId="7"/>
    <xf numFmtId="0" fontId="21" fillId="7" borderId="28" applyAlignment="1" pivotButton="0" quotePrefix="0" xfId="7">
      <alignment horizontal="left" indent="1"/>
    </xf>
    <xf numFmtId="0" fontId="22" fillId="3" borderId="32" pivotButton="0" quotePrefix="1" xfId="7"/>
    <xf numFmtId="0" fontId="17" fillId="0" borderId="0" applyAlignment="1" pivotButton="0" quotePrefix="0" xfId="0">
      <alignment horizontal="center" vertical="center"/>
    </xf>
    <xf numFmtId="0" fontId="16" fillId="3" borderId="0" applyAlignment="1" pivotButton="0" quotePrefix="0" xfId="7">
      <alignment horizontal="left" vertical="center" indent="1"/>
    </xf>
    <xf numFmtId="0" fontId="2" fillId="3" borderId="0" pivotButton="0" quotePrefix="0" xfId="7"/>
    <xf numFmtId="9" fontId="0" fillId="0" borderId="0" pivotButton="0" quotePrefix="0" xfId="0"/>
    <xf numFmtId="166" fontId="0" fillId="0" borderId="0" pivotButton="0" quotePrefix="0" xfId="10"/>
    <xf numFmtId="0" fontId="25" fillId="5" borderId="12" applyAlignment="1" pivotButton="0" quotePrefix="0" xfId="1">
      <alignment horizontal="center" vertical="center"/>
    </xf>
    <xf numFmtId="0" fontId="25" fillId="5" borderId="15" applyAlignment="1" pivotButton="0" quotePrefix="0" xfId="1">
      <alignment horizontal="center" vertical="center"/>
    </xf>
    <xf numFmtId="0" fontId="25" fillId="5" borderId="13" applyAlignment="1" pivotButton="0" quotePrefix="0" xfId="1">
      <alignment horizontal="center" vertical="center"/>
    </xf>
    <xf numFmtId="0" fontId="4" fillId="0" borderId="0" applyAlignment="1" pivotButton="0" quotePrefix="0" xfId="0">
      <alignment vertical="center"/>
    </xf>
    <xf numFmtId="165" fontId="4" fillId="0" borderId="0" applyAlignment="1" pivotButton="0" quotePrefix="0" xfId="2">
      <alignment vertical="center"/>
    </xf>
    <xf numFmtId="0" fontId="6" fillId="0" borderId="0" applyAlignment="1" pivotButton="0" quotePrefix="1" xfId="0">
      <alignment horizontal="left" vertical="center" wrapText="1"/>
    </xf>
    <xf numFmtId="0" fontId="0" fillId="0" borderId="2" pivotButton="0" quotePrefix="0" xfId="0"/>
    <xf numFmtId="0" fontId="6" fillId="0" borderId="0" applyAlignment="1" pivotButton="0" quotePrefix="1" xfId="0">
      <alignment horizontal="center" vertical="center"/>
    </xf>
    <xf numFmtId="9" fontId="0" fillId="0" borderId="0" applyAlignment="1" pivotButton="0" quotePrefix="0" xfId="10">
      <alignment vertical="center"/>
    </xf>
    <xf numFmtId="0" fontId="6" fillId="0" borderId="2" applyAlignment="1" pivotButton="0" quotePrefix="1" xfId="0">
      <alignment horizontal="left" vertical="center" wrapText="1"/>
    </xf>
    <xf numFmtId="0" fontId="6" fillId="0" borderId="0" applyAlignment="1" pivotButton="0" quotePrefix="1" xfId="0">
      <alignment horizontal="left" vertical="center" wrapText="1"/>
    </xf>
    <xf numFmtId="0" fontId="6" fillId="0" borderId="8" applyAlignment="1" pivotButton="0" quotePrefix="1" xfId="0">
      <alignment horizontal="left" vertical="center" wrapText="1"/>
    </xf>
    <xf numFmtId="0" fontId="15" fillId="0" borderId="0" applyAlignment="1" pivotButton="0" quotePrefix="0" xfId="0">
      <alignment horizontal="center"/>
    </xf>
    <xf numFmtId="165" fontId="24" fillId="5" borderId="17" applyAlignment="1" pivotButton="0" quotePrefix="0" xfId="1">
      <alignment horizontal="center" vertical="center"/>
    </xf>
    <xf numFmtId="165" fontId="24" fillId="5" borderId="18" applyAlignment="1" pivotButton="0" quotePrefix="0" xfId="1">
      <alignment horizontal="center" vertical="center"/>
    </xf>
    <xf numFmtId="0" fontId="24" fillId="5" borderId="16" applyAlignment="1" pivotButton="0" quotePrefix="0" xfId="1">
      <alignment horizontal="right" vertical="center"/>
    </xf>
    <xf numFmtId="0" fontId="24" fillId="5" borderId="17" applyAlignment="1" pivotButton="0" quotePrefix="0" xfId="1">
      <alignment horizontal="right" vertical="center"/>
    </xf>
    <xf numFmtId="0" fontId="25" fillId="5" borderId="4" applyAlignment="1" pivotButton="0" quotePrefix="0" xfId="1">
      <alignment horizontal="center"/>
    </xf>
    <xf numFmtId="0" fontId="25" fillId="5" borderId="6" applyAlignment="1" pivotButton="0" quotePrefix="0" xfId="1">
      <alignment horizontal="center"/>
    </xf>
    <xf numFmtId="0" fontId="25" fillId="5" borderId="5" applyAlignment="1" pivotButton="0" quotePrefix="0" xfId="1">
      <alignment horizontal="center"/>
    </xf>
    <xf numFmtId="0" fontId="10" fillId="3" borderId="0" applyAlignment="1" pivotButton="0" quotePrefix="0" xfId="0">
      <alignment horizontal="left" indent="1"/>
    </xf>
    <xf numFmtId="0" fontId="13" fillId="3" borderId="0" applyAlignment="1" pivotButton="0" quotePrefix="0" xfId="6">
      <alignment horizontal="left"/>
    </xf>
    <xf numFmtId="14" fontId="6" fillId="0" borderId="0" applyAlignment="1" pivotButton="0" quotePrefix="0" xfId="0">
      <alignment horizontal="left"/>
    </xf>
    <xf numFmtId="0" fontId="6" fillId="0" borderId="0" applyAlignment="1" pivotButton="0" quotePrefix="0" xfId="0">
      <alignment horizontal="left"/>
    </xf>
    <xf numFmtId="0" fontId="8" fillId="0" borderId="0" applyAlignment="1" pivotButton="0" quotePrefix="0" xfId="0">
      <alignment horizontal="left"/>
    </xf>
    <xf numFmtId="0" fontId="6" fillId="0" borderId="0" applyAlignment="1" pivotButton="0" quotePrefix="0" xfId="0">
      <alignment horizontal="left" vertical="center" wrapText="1"/>
    </xf>
    <xf numFmtId="0" fontId="6" fillId="0" borderId="0" applyAlignment="1" pivotButton="0" quotePrefix="1" xfId="0">
      <alignment horizontal="left"/>
    </xf>
    <xf numFmtId="0" fontId="9" fillId="3" borderId="0" applyAlignment="1" pivotButton="0" quotePrefix="0" xfId="0">
      <alignment horizontal="left"/>
    </xf>
    <xf numFmtId="0" fontId="25" fillId="5" borderId="10" applyAlignment="1" pivotButton="0" quotePrefix="0" xfId="1">
      <alignment vertical="center"/>
    </xf>
    <xf numFmtId="0" fontId="19" fillId="5" borderId="11" applyAlignment="1" pivotButton="0" quotePrefix="0" xfId="1">
      <alignment vertical="center"/>
    </xf>
    <xf numFmtId="0" fontId="9" fillId="0" borderId="9" applyAlignment="1" pivotButton="0" quotePrefix="1" xfId="0">
      <alignment horizontal="left" vertical="center" wrapText="1"/>
    </xf>
    <xf numFmtId="0" fontId="9" fillId="0" borderId="14" applyAlignment="1" pivotButton="0" quotePrefix="1" xfId="0">
      <alignment horizontal="left" vertical="center" wrapText="1"/>
    </xf>
    <xf numFmtId="0" fontId="9" fillId="0" borderId="2" applyAlignment="1" pivotButton="0" quotePrefix="1" xfId="0">
      <alignment horizontal="left" vertical="center" wrapText="1"/>
    </xf>
    <xf numFmtId="0" fontId="9" fillId="0" borderId="8" applyAlignment="1" pivotButton="0" quotePrefix="1" xfId="0">
      <alignment horizontal="left" vertical="center" wrapText="1"/>
    </xf>
    <xf numFmtId="0" fontId="6" fillId="0" borderId="7" applyAlignment="1" pivotButton="0" quotePrefix="0" xfId="0">
      <alignment horizontal="center" vertical="center"/>
    </xf>
    <xf numFmtId="0" fontId="6" fillId="0" borderId="1" applyAlignment="1" pivotButton="0" quotePrefix="0" xfId="0">
      <alignment horizontal="center" vertical="center"/>
    </xf>
    <xf numFmtId="165" fontId="6" fillId="0" borderId="7" applyAlignment="1" pivotButton="0" quotePrefix="0" xfId="2">
      <alignment horizontal="center" vertical="center"/>
    </xf>
    <xf numFmtId="165" fontId="6" fillId="0" borderId="1" applyAlignment="1" pivotButton="0" quotePrefix="0" xfId="2">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center"/>
    </xf>
    <xf numFmtId="165" fontId="6" fillId="0" borderId="0" pivotButton="0" quotePrefix="0" xfId="2"/>
    <xf numFmtId="165" fontId="6" fillId="0" borderId="0" applyAlignment="1" pivotButton="0" quotePrefix="0" xfId="2">
      <alignment vertical="center"/>
    </xf>
    <xf numFmtId="0" fontId="25" fillId="5" borderId="35" applyAlignment="1" pivotButton="0" quotePrefix="0" xfId="1">
      <alignment vertical="center"/>
    </xf>
    <xf numFmtId="0" fontId="0" fillId="0" borderId="11" pivotButton="0" quotePrefix="0" xfId="0"/>
    <xf numFmtId="0" fontId="9" fillId="0" borderId="38" applyAlignment="1" pivotButton="0" quotePrefix="1" xfId="0">
      <alignment horizontal="left" vertical="center" wrapText="1"/>
    </xf>
    <xf numFmtId="0" fontId="0" fillId="0" borderId="39" pivotButton="0" quotePrefix="0" xfId="0"/>
    <xf numFmtId="165" fontId="6" fillId="0" borderId="7" applyAlignment="1" pivotButton="0" quotePrefix="0" xfId="2">
      <alignment horizontal="center" vertical="center"/>
    </xf>
    <xf numFmtId="0" fontId="0" fillId="0" borderId="33" pivotButton="0" quotePrefix="0" xfId="0"/>
    <xf numFmtId="0" fontId="0" fillId="0" borderId="8" pivotButton="0" quotePrefix="0" xfId="0"/>
    <xf numFmtId="0" fontId="0" fillId="0" borderId="34" pivotButton="0" quotePrefix="0" xfId="0"/>
    <xf numFmtId="165" fontId="6" fillId="0" borderId="1" applyAlignment="1" pivotButton="0" quotePrefix="0" xfId="2">
      <alignment horizontal="center" vertical="center"/>
    </xf>
    <xf numFmtId="165" fontId="6" fillId="0" borderId="8" applyAlignment="1" pivotButton="0" quotePrefix="0" xfId="2">
      <alignment horizontal="center" vertical="center"/>
    </xf>
    <xf numFmtId="0" fontId="6" fillId="0" borderId="1" applyAlignment="1" pivotButton="0" quotePrefix="1" xfId="0">
      <alignment horizontal="left" vertical="center" wrapText="1"/>
    </xf>
    <xf numFmtId="165" fontId="6" fillId="0" borderId="0" applyAlignment="1" pivotButton="0" quotePrefix="0" xfId="2">
      <alignment horizontal="left" vertical="center"/>
    </xf>
    <xf numFmtId="165" fontId="6" fillId="0" borderId="8" applyAlignment="1" pivotButton="0" quotePrefix="0" xfId="2">
      <alignment horizontal="left" vertical="center"/>
    </xf>
    <xf numFmtId="0" fontId="0" fillId="0" borderId="17" pivotButton="0" quotePrefix="0" xfId="0"/>
    <xf numFmtId="165" fontId="24" fillId="5" borderId="18" applyAlignment="1" pivotButton="0" quotePrefix="0" xfId="1">
      <alignment horizontal="center" vertical="center"/>
    </xf>
    <xf numFmtId="0" fontId="0" fillId="0" borderId="18" pivotButton="0" quotePrefix="0" xfId="0"/>
    <xf numFmtId="165" fontId="6" fillId="0" borderId="0" applyAlignment="1" pivotButton="0" quotePrefix="0" xfId="2">
      <alignment horizontal="center" vertical="center"/>
    </xf>
    <xf numFmtId="0" fontId="25" fillId="5" borderId="3" applyAlignment="1" pivotButton="0" quotePrefix="0" xfId="1">
      <alignment horizontal="center"/>
    </xf>
    <xf numFmtId="0" fontId="0" fillId="0" borderId="6" pivotButton="0" quotePrefix="0" xfId="0"/>
    <xf numFmtId="0" fontId="0" fillId="0" borderId="5" pivotButton="0" quotePrefix="0" xfId="0"/>
    <xf numFmtId="165" fontId="0" fillId="0" borderId="0" pivotButton="0" quotePrefix="0" xfId="0"/>
    <xf numFmtId="165" fontId="0" fillId="0" borderId="0" applyAlignment="1" pivotButton="0" quotePrefix="0" xfId="2">
      <alignment vertical="center"/>
    </xf>
    <xf numFmtId="165" fontId="4" fillId="0" borderId="0" applyAlignment="1" pivotButton="0" quotePrefix="0" xfId="2">
      <alignment vertical="center"/>
    </xf>
    <xf numFmtId="165" fontId="0" fillId="0" borderId="0" pivotButton="0" quotePrefix="0" xfId="2"/>
    <xf numFmtId="166" fontId="0" fillId="0" borderId="0" pivotButton="0" quotePrefix="0" xfId="10"/>
  </cellXfs>
  <cellStyles count="11">
    <cellStyle name="Normal" xfId="0" builtinId="0"/>
    <cellStyle name="Saída" xfId="1" builtinId="21"/>
    <cellStyle name="Moeda" xfId="2" builtinId="4"/>
    <cellStyle name="Vírgula" xfId="3" builtinId="3"/>
    <cellStyle name="Porcentagem 2" xfId="4"/>
    <cellStyle name="Vírgula 2" xfId="5"/>
    <cellStyle name="Hiperlink" xfId="6" builtinId="8"/>
    <cellStyle name="Normal 2" xfId="7"/>
    <cellStyle name="Moeda 2" xfId="8"/>
    <cellStyle name="Porcentagem 3" xfId="9"/>
    <cellStyle name="Porcentagem" xfId="10" builtinId="5"/>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9</col>
      <colOff>0</colOff>
      <row>21</row>
      <rowOff>0</rowOff>
    </from>
    <to>
      <col>9</col>
      <colOff>0</colOff>
      <row>59</row>
      <rowOff>142875</rowOff>
    </to>
    <pic>
      <nvPicPr>
        <cNvPr id="7" name="Imagem 6"/>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9067800" y="3762375"/>
          <a:ext cx="0" cy="63722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9</col>
      <colOff>0</colOff>
      <row>21</row>
      <rowOff>0</rowOff>
    </from>
    <to>
      <col>9</col>
      <colOff>0</colOff>
      <row>59</row>
      <rowOff>142875</rowOff>
    </to>
    <pic>
      <nvPicPr>
        <cNvPr id="9" name="Imagem 8"/>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9067800" y="3762375"/>
          <a:ext cx="0" cy="63722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1</col>
      <colOff>133349</colOff>
      <row>0</row>
      <rowOff>182404</rowOff>
    </from>
    <to>
      <col>1</col>
      <colOff>3732480</colOff>
      <row>5</row>
      <rowOff>47625</rowOff>
    </to>
    <grpSp>
      <nvGrpSpPr>
        <cNvPr id="6" name="Agrupar 5"/>
        <cNvGrpSpPr/>
      </nvGrpSpPr>
      <grpSpPr>
        <a:xfrm xmlns:a="http://schemas.openxmlformats.org/drawingml/2006/main" rot="0">
          <a:off x="323849" y="182404"/>
          <a:ext cx="3599131" cy="884396"/>
          <a:chOff x="323849" y="182404"/>
          <a:chExt cx="3599131" cy="884396"/>
        </a:xfrm>
      </grpSpPr>
      <pic>
        <nvPicPr>
          <cNvPr id="4" name="Imagem 3"/>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323849" y="285750"/>
            <a:ext cx="1741171" cy="733425"/>
          </a:xfrm>
          <a:prstGeom xmlns:a="http://schemas.openxmlformats.org/drawingml/2006/main" prst="rect">
            <avLst/>
          </a:prstGeom>
          <a:noFill xmlns:a="http://schemas.openxmlformats.org/drawingml/2006/main"/>
          <a:ln xmlns:a="http://schemas.openxmlformats.org/drawingml/2006/main">
            <a:prstDash val="solid"/>
          </a:ln>
        </spPr>
      </pic>
    </grpSp>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73"/>
  <sheetViews>
    <sheetView showGridLines="0" view="pageBreakPreview" topLeftCell="A19" zoomScaleNormal="115" zoomScaleSheetLayoutView="100" zoomScalePageLayoutView="130" workbookViewId="0">
      <selection activeCell="B54" sqref="B54:G56"/>
    </sheetView>
  </sheetViews>
  <sheetFormatPr baseColWidth="8" defaultColWidth="0" defaultRowHeight="12.75"/>
  <cols>
    <col width="2.85546875" customWidth="1" style="1" min="1" max="1"/>
    <col width="65.7109375" customWidth="1" style="1" min="2" max="2"/>
    <col width="18.85546875" customWidth="1" style="1" min="3" max="3"/>
    <col width="10.85546875" customWidth="1" style="6" min="4" max="4"/>
    <col width="8.42578125" customWidth="1" style="1" min="5" max="5"/>
    <col width="12.5703125" customWidth="1" style="1" min="6" max="7"/>
    <col hidden="1" width="12.42578125" customWidth="1" style="1" min="8" max="8"/>
    <col width="4.140625" customWidth="1" style="1" min="9" max="9"/>
    <col hidden="1" width="11.28515625" customWidth="1" style="1" min="10" max="10"/>
    <col hidden="1" width="37" customWidth="1" style="1" min="11" max="11"/>
    <col hidden="1" width="10.42578125" customWidth="1" style="1" min="12" max="12"/>
    <col hidden="1" width="7.42578125" customWidth="1" style="1" min="13" max="13"/>
    <col hidden="1" width="11.42578125" customWidth="1" style="116" min="14" max="14"/>
    <col hidden="1" width="8.85546875" customWidth="1" style="1" min="15" max="16384"/>
  </cols>
  <sheetData>
    <row r="1" ht="21" customHeight="1">
      <c r="B1" s="29" t="n"/>
      <c r="C1" s="2" t="n"/>
      <c r="D1" s="3" t="n"/>
      <c r="E1" s="2" t="n"/>
      <c r="F1" s="2" t="n"/>
      <c r="G1" s="2" t="n"/>
      <c r="H1" s="2" t="n"/>
    </row>
    <row r="2" ht="21" customHeight="1">
      <c r="B2" s="4" t="n"/>
      <c r="C2" s="5" t="n"/>
      <c r="D2" s="30" t="inlineStr">
        <is>
          <t>DATA:</t>
        </is>
      </c>
      <c r="E2" s="98" t="n">
        <v>46196</v>
      </c>
    </row>
    <row r="3" ht="12.95" customHeight="1">
      <c r="C3" s="7" t="n"/>
      <c r="D3" s="8" t="n"/>
    </row>
    <row r="4" ht="12.95" customHeight="1">
      <c r="C4" s="4" t="n"/>
      <c r="D4" s="30" t="inlineStr">
        <is>
          <t>DE:</t>
        </is>
      </c>
      <c r="E4" s="99" t="inlineStr">
        <is>
          <t>Gabriel Hernandez Rozo</t>
        </is>
      </c>
      <c r="K4" s="9" t="n"/>
      <c r="L4" s="9" t="n"/>
      <c r="M4" s="9" t="n"/>
      <c r="N4" s="117" t="n"/>
    </row>
    <row r="5" ht="12.95" customFormat="1" customHeight="1" s="9">
      <c r="A5" s="1" t="n"/>
      <c r="C5" s="4" t="n"/>
      <c r="D5" s="31" t="n"/>
      <c r="E5" s="33" t="inlineStr">
        <is>
          <t>ghrozo97@gmail.com</t>
        </is>
      </c>
      <c r="F5" s="33" t="n"/>
      <c r="G5" s="33" t="n"/>
      <c r="N5" s="117" t="n"/>
    </row>
    <row r="6" ht="12.95" customFormat="1" customHeight="1" s="9">
      <c r="A6" s="1" t="n"/>
      <c r="C6" s="4" t="n"/>
      <c r="D6" s="4" t="n"/>
      <c r="E6" s="97" t="inlineStr">
        <is>
          <t>CAExperts — Florianópolis/SC</t>
        </is>
      </c>
      <c r="N6" s="117" t="n"/>
    </row>
    <row r="7" ht="12.95" customFormat="1" customHeight="1" s="9">
      <c r="A7" s="1" t="n"/>
      <c r="C7" s="4" t="n"/>
      <c r="E7" s="97" t="n"/>
      <c r="N7" s="117" t="n"/>
    </row>
    <row r="8" ht="12.95" customFormat="1" customHeight="1" s="9">
      <c r="A8" s="1" t="n"/>
      <c r="B8" s="29" t="inlineStr">
        <is>
          <t>Razão Social: Creative Solutions Engenharia e Consultoria LTDA</t>
        </is>
      </c>
      <c r="C8" s="4" t="n"/>
      <c r="D8" s="32" t="inlineStr">
        <is>
          <t>PARA:</t>
        </is>
      </c>
      <c r="E8" s="100" t="inlineStr">
        <is>
          <t>Braskem S.A. — Unidade PE5 (RS)</t>
        </is>
      </c>
      <c r="N8" s="117" t="n"/>
    </row>
    <row r="9" ht="12.95" customFormat="1" customHeight="1" s="9">
      <c r="A9" s="1" t="n"/>
      <c r="B9" s="29" t="inlineStr">
        <is>
          <t>CNPJ: 15.806.919/0001-44 - Inscrição Estadual: 25.676.225-2</t>
        </is>
      </c>
      <c r="C9" s="4" t="n"/>
      <c r="D9" s="4" t="n"/>
      <c r="E9" s="101" t="inlineStr">
        <is>
          <t>Jeferson Diefenthaler</t>
        </is>
      </c>
      <c r="N9" s="117" t="n"/>
    </row>
    <row r="10" ht="12.95" customFormat="1" customHeight="1" s="9">
      <c r="A10" s="1" t="n"/>
      <c r="B10" s="29" t="inlineStr">
        <is>
          <t>Rod Jose Carlos Daux, km 01 - Edifício CELTA, 3º andar - Sala 2.02</t>
        </is>
      </c>
      <c r="C10" s="4" t="n"/>
      <c r="D10" s="4" t="n"/>
      <c r="E10" s="102" t="inlineStr"/>
      <c r="N10" s="117" t="n"/>
    </row>
    <row r="11" ht="12.95" customFormat="1" customHeight="1" s="9">
      <c r="A11" s="1" t="n"/>
      <c r="B11" s="29" t="inlineStr">
        <is>
          <t>CEP: 88030-902 - Bairro João Paulo</t>
        </is>
      </c>
      <c r="C11" s="4" t="n"/>
      <c r="D11" s="4" t="n"/>
      <c r="E11" s="97" t="inlineStr"/>
      <c r="N11" s="117" t="n"/>
    </row>
    <row r="12" ht="12.95" customFormat="1" customHeight="1" s="9">
      <c r="A12" s="1" t="n"/>
      <c r="B12" s="29" t="inlineStr">
        <is>
          <t>Florianópolis – SC – Brasil</t>
        </is>
      </c>
      <c r="C12" s="4" t="n"/>
      <c r="D12" s="4" t="n"/>
      <c r="N12" s="117" t="n"/>
    </row>
    <row r="13" ht="12.95" customFormat="1" customHeight="1" s="9">
      <c r="A13" s="1" t="n"/>
      <c r="C13" s="4" t="n"/>
      <c r="D13" s="32" t="inlineStr">
        <is>
          <t>VÁLIDO ATÉ:</t>
        </is>
      </c>
      <c r="E13" s="98">
        <f>E2+30</f>
        <v/>
      </c>
      <c r="N13" s="117" t="n"/>
    </row>
    <row r="14" ht="12.95" customHeight="1">
      <c r="B14" s="10" t="n"/>
      <c r="C14" s="11" t="n"/>
    </row>
    <row r="15" ht="21" customHeight="1">
      <c r="B15" s="10" t="n"/>
      <c r="C15" s="10" t="n"/>
      <c r="D15" s="12" t="n"/>
      <c r="E15" s="10" t="n"/>
      <c r="F15" s="103" t="n"/>
    </row>
    <row r="16" ht="15" customHeight="1">
      <c r="B16" s="118" t="inlineStr">
        <is>
          <t>Item</t>
        </is>
      </c>
      <c r="C16" s="119" t="n"/>
      <c r="D16" s="76" t="inlineStr">
        <is>
          <t>Tipo</t>
        </is>
      </c>
      <c r="E16" s="77" t="inlineStr">
        <is>
          <t>Quant.</t>
        </is>
      </c>
      <c r="F16" s="78" t="inlineStr">
        <is>
          <t>Valor Unit.</t>
        </is>
      </c>
      <c r="G16" s="78" t="inlineStr">
        <is>
          <t>Valor Total</t>
        </is>
      </c>
      <c r="I16" s="13" t="n"/>
    </row>
    <row r="17" ht="12.75" customHeight="1">
      <c r="B17" s="120" t="inlineStr">
        <is>
          <t>Estudo de Embuchamento em Rosca Transportadora — Simulação DEM (PEAD + Hexano)</t>
        </is>
      </c>
      <c r="C17" s="121" t="n"/>
      <c r="D17" s="110" t="inlineStr">
        <is>
          <t>Serviço</t>
        </is>
      </c>
      <c r="E17" s="110" t="n">
        <v>1</v>
      </c>
      <c r="F17" s="122">
        <f>ROUND(Cronograma!O5,0)*1.1</f>
        <v/>
      </c>
      <c r="G17" s="122">
        <f>F17</f>
        <v/>
      </c>
      <c r="I17" s="14" t="n"/>
    </row>
    <row r="18">
      <c r="B18" s="123" t="n"/>
      <c r="C18" s="124" t="n"/>
      <c r="D18" s="125" t="n"/>
      <c r="E18" s="125" t="n"/>
      <c r="F18" s="125" t="n"/>
      <c r="G18" s="125" t="n"/>
      <c r="I18" s="14" t="n"/>
    </row>
    <row r="19">
      <c r="B19" s="20" t="n"/>
      <c r="C19" s="21" t="n"/>
      <c r="D19" s="111" t="n"/>
      <c r="E19" s="23" t="n"/>
      <c r="F19" s="126" t="n"/>
      <c r="G19" s="127" t="n"/>
      <c r="I19" s="14" t="n"/>
    </row>
    <row r="20" ht="13.9" customHeight="1">
      <c r="B20" s="128" t="inlineStr">
        <is>
          <t>Objetivo: Identificar as causas e propor mitigações para o embuchamento (clogging) de pó de PEAD na rosca transportadora da unidade PE5 (RS), utilizando simulação pelo Método de Elementos Discretos (DEM) no Star-CCM+ 2506. Serão avaliados dois cenários: rosca de pá helicoidal contínua (padrão) e rosca cut-flight, com foco nas zonas de velocidade de partícula próxima a zero, indicativas de embuchamento.</t>
        </is>
      </c>
      <c r="G20" s="124" t="n"/>
      <c r="I20" s="14" t="n"/>
    </row>
    <row r="21" ht="13.9" customHeight="1">
      <c r="B21" s="82" t="n"/>
      <c r="G21" s="124" t="n"/>
      <c r="I21" s="14" t="n"/>
    </row>
    <row r="22">
      <c r="B22" s="82" t="n"/>
      <c r="C22" s="26" t="n"/>
      <c r="D22" s="7" t="n"/>
      <c r="E22" s="7" t="n"/>
      <c r="F22" s="129" t="n"/>
      <c r="G22" s="130" t="n"/>
      <c r="I22" s="14" t="n"/>
    </row>
    <row r="23" ht="12.75" customHeight="1">
      <c r="B23" s="128" t="inlineStr">
        <is>
          <t>Recursos: Empregaremos neste projeto uma equipe técnica de consultores experientes na solução de problemas industriais com o apoio de ferramentas de CAE avançadas da SIEMENS, como o STAR-CCM+, referência mundial na área de fluidodinâmica.</t>
        </is>
      </c>
      <c r="G23" s="124" t="n"/>
      <c r="I23" s="14" t="n"/>
    </row>
    <row r="24" ht="12.75" customHeight="1">
      <c r="B24" s="82" t="n"/>
      <c r="G24" s="124" t="n"/>
      <c r="I24" s="14" t="n"/>
    </row>
    <row r="25">
      <c r="B25" s="36" t="n"/>
      <c r="C25" s="26" t="n"/>
      <c r="D25" s="7" t="n"/>
      <c r="E25" s="7" t="n"/>
      <c r="F25" s="129" t="n"/>
      <c r="G25" s="130" t="n"/>
      <c r="I25" s="14" t="n"/>
    </row>
    <row r="26">
      <c r="B26" s="128" t="inlineStr">
        <is>
          <t>Escopo: A CAEXPERTS desenvolverá o estudo em 4 etapas, descritas a seguir:
Na Etapa 1 (Configuração Inicial — 5 dias): Ajuste da geometria 3D da rosca com os parâmetros reais fornecidos pela Braskem (D_screw, D_shaft, pitch, RPM); configuração do domínio DEM no Star-CCM+ 2506 com física de contato Hertz-Mindlin e Liquid Bridge Force (Lian, 1993) para modelar a coesão hexano-PEAD; calibração dos parâmetros de partícula com base na granulometria do PEAD fornecida.
Na Etapa 2 (Simulações dos Cenários — 15 dias): Execução de dois casos de simulação DEM: (1) Caso base — rosca padrão com pá helicoidal contínua; (2) Rosca cut-flight com cortes a cada 90°. Análise das zonas de baixa velocidade de partícula (indicativo de embuchamento) e campos de pressão e tensão sobre as partículas.
Na Etapa 3 (Finalização — 5 dias): Pós-processamento dos resultados: campos de velocidade, pressão e distribuição de partículas; comparação quantitativa entre os dois cenários; elaboração do relatório técnico em formato .ppt com metodologia, resultados e recomendações.
Na Etapa 4 (Reunião Final Online — dia 25): Apresentação dos resultados e recomendações de mitigação do embuchamento à equipe técnica da Braskem PE5.</t>
        </is>
      </c>
      <c r="G26" s="124" t="n"/>
      <c r="I26" s="14" t="n"/>
    </row>
    <row r="27">
      <c r="B27" s="82" t="n"/>
      <c r="G27" s="124" t="n"/>
      <c r="I27" s="14" t="n"/>
    </row>
    <row r="28">
      <c r="B28" s="82" t="n"/>
      <c r="G28" s="124" t="n"/>
      <c r="I28" s="14" t="n"/>
    </row>
    <row r="29">
      <c r="B29" s="82" t="n"/>
      <c r="G29" s="124" t="n"/>
      <c r="I29" s="14" t="n"/>
    </row>
    <row r="30">
      <c r="B30" s="82" t="n"/>
      <c r="G30" s="124" t="n"/>
      <c r="I30" s="14" t="n"/>
    </row>
    <row r="31">
      <c r="B31" s="82" t="n"/>
      <c r="G31" s="124" t="n"/>
      <c r="I31" s="14" t="n"/>
    </row>
    <row r="32">
      <c r="B32" s="82" t="n"/>
      <c r="G32" s="124" t="n"/>
      <c r="I32" s="14" t="n"/>
    </row>
    <row r="33">
      <c r="B33" s="82" t="n"/>
      <c r="G33" s="124" t="n"/>
      <c r="I33" s="14" t="n"/>
    </row>
    <row r="34">
      <c r="B34" s="82" t="n"/>
      <c r="G34" s="124" t="n"/>
      <c r="I34" s="14" t="n"/>
    </row>
    <row r="35">
      <c r="B35" s="82" t="n"/>
      <c r="G35" s="124" t="n"/>
      <c r="I35" s="14" t="n"/>
    </row>
    <row r="36">
      <c r="B36" s="82" t="n"/>
      <c r="G36" s="124" t="n"/>
      <c r="I36" s="14" t="n"/>
    </row>
    <row r="37">
      <c r="B37" s="82" t="n"/>
      <c r="G37" s="124" t="n"/>
      <c r="I37" s="14" t="n"/>
    </row>
    <row r="38">
      <c r="B38" s="82" t="n"/>
      <c r="G38" s="124" t="n"/>
      <c r="I38" s="14" t="n"/>
    </row>
    <row r="39">
      <c r="B39" s="82" t="n"/>
      <c r="G39" s="124" t="n"/>
      <c r="I39" s="14" t="n"/>
    </row>
    <row r="40">
      <c r="B40" s="82" t="n"/>
      <c r="G40" s="124" t="n"/>
      <c r="I40" s="14" t="n"/>
    </row>
    <row r="41">
      <c r="B41" s="82" t="n"/>
      <c r="G41" s="124" t="n"/>
      <c r="I41" s="14" t="n"/>
    </row>
    <row r="42">
      <c r="B42" s="43" t="n"/>
      <c r="C42" s="83" t="n"/>
      <c r="D42" s="83" t="n"/>
      <c r="E42" s="83" t="n"/>
      <c r="F42" s="83" t="n"/>
      <c r="G42" s="44" t="n"/>
      <c r="I42" s="14" t="n"/>
    </row>
    <row r="43" ht="12.75" customHeight="1">
      <c r="B43" s="128" t="inlineStr">
        <is>
          <t>Cronograma de Atividades: A execução do projeto está prevista para ser realizada em 25 dias, conforme cronograma de atividades em anexo. A primeira etapa se iniciará oficialmente a partir do dia subsequente ao recebimento dos documentos com os dados necessários ao projeto. Cada etapa está com a duração em dias prevista conforme indicado abaixo:
Etapa 1: 5 dias;   Etapa 2: 15 dias;   Etapa 3: 5 dias;   Reunião Final: dia 25.</t>
        </is>
      </c>
      <c r="G43" s="124" t="n"/>
      <c r="I43" s="14" t="n"/>
    </row>
    <row r="44" ht="12.75" customHeight="1">
      <c r="B44" s="82" t="n"/>
      <c r="G44" s="124" t="n"/>
      <c r="I44" s="14" t="n"/>
    </row>
    <row r="45" ht="12.75" customHeight="1">
      <c r="B45" s="82" t="n"/>
      <c r="G45" s="124" t="n"/>
      <c r="I45" s="14" t="n"/>
    </row>
    <row r="46" ht="12.75" customHeight="1">
      <c r="B46" s="82" t="n"/>
      <c r="G46" s="124" t="n"/>
      <c r="I46" s="14" t="n"/>
    </row>
    <row r="47">
      <c r="B47" s="82" t="n"/>
      <c r="G47" s="124" t="n"/>
      <c r="I47" s="14" t="n"/>
    </row>
    <row r="48">
      <c r="B48" s="85" t="n"/>
      <c r="C48" s="86" t="n"/>
      <c r="D48" s="86" t="n"/>
      <c r="E48" s="86" t="n"/>
      <c r="F48" s="86" t="n"/>
      <c r="G48" s="87" t="n"/>
      <c r="I48" s="14" t="n"/>
    </row>
    <row r="49" ht="13.9" customHeight="1">
      <c r="B49" s="128" t="inlineStr">
        <is>
          <t>Requisitos/Dados Necessários ao Projeto: Diâmetro externo da pá (D_screw, mm), diâmetro do eixo (D_shaft, mm), passo da hélice (pitch, mm) e RPM de operação; granulometria do pó de PEAD (D10, D50, D90) — alternativamente, confirmação de semelhança com pó de talco; densidade aparente do PEAD (bulk density, kg/m³); localização típica do embuchamento (início/meio/fim da rosca); tipo de rosca em operação (padrão ou cut-flight); e, se disponível, desenho técnico ou croqui com cotas e fotos do equipamento.</t>
        </is>
      </c>
      <c r="G49" s="124" t="n"/>
      <c r="I49" s="14" t="n"/>
    </row>
    <row r="50">
      <c r="B50" s="82" t="n"/>
      <c r="G50" s="124" t="n"/>
      <c r="I50" s="14" t="n"/>
    </row>
    <row r="51">
      <c r="B51" s="85" t="n"/>
      <c r="C51" s="86" t="n"/>
      <c r="D51" s="86" t="n"/>
      <c r="E51" s="86" t="n"/>
      <c r="F51" s="86" t="n"/>
      <c r="G51" s="87" t="n"/>
      <c r="I51" s="14" t="n"/>
    </row>
    <row r="52" ht="13.9" customHeight="1">
      <c r="B52" s="128" t="inlineStr">
        <is>
          <t>Entregáveis do Projeto: Relatório técnico em formato .ppt contendo: geometria 3D da rosca simulada (arquivo STEP), campos de velocidade e distribuição de partículas DEM, identificação das zonas de embuchamento, comparação quantitativa entre rosca padrão e cut-flight, e recomendações de mitigação fundamentadas nos resultados das simulações.</t>
        </is>
      </c>
      <c r="G52" s="124" t="n"/>
      <c r="I52" s="14" t="n"/>
    </row>
    <row r="53">
      <c r="B53" s="85" t="n"/>
      <c r="C53" s="86" t="n"/>
      <c r="D53" s="7" t="n"/>
      <c r="E53" s="7" t="n"/>
      <c r="F53" s="129" t="n"/>
      <c r="G53" s="130" t="n"/>
      <c r="I53" s="14" t="n"/>
    </row>
    <row r="54" ht="13.9" customHeight="1">
      <c r="B54" s="128" t="inlineStr">
        <is>
          <t>Quem Somos: A CAEXPERTS é uma empresa especializada em digitalização da engenharia que conta com uma rede de consultores pioneiros da implantação de tecnologias de simulação computacional na indústria nacional. Somos parceiros tecnológicos da SIEMENS Digital Industries Software, onde contamos com um portifólio de ferramentas de CAE mais completo do mercado.</t>
        </is>
      </c>
      <c r="G54" s="124" t="n"/>
      <c r="I54" s="14" t="n"/>
    </row>
    <row r="55" ht="13.9" customHeight="1">
      <c r="B55" s="82" t="n"/>
      <c r="G55" s="124" t="n"/>
      <c r="I55" s="14" t="n"/>
    </row>
    <row r="56" ht="12.75" customHeight="1">
      <c r="B56" s="82" t="n"/>
      <c r="G56" s="124" t="n"/>
      <c r="I56" s="14" t="n"/>
    </row>
    <row r="57">
      <c r="B57" s="39" t="n"/>
      <c r="C57" s="40" t="n"/>
      <c r="D57" s="40" t="n"/>
      <c r="E57" s="40" t="n"/>
      <c r="F57" s="40" t="n"/>
      <c r="G57" s="41" t="n"/>
      <c r="I57" s="14" t="n"/>
    </row>
    <row r="58" ht="15.75" customHeight="1">
      <c r="B58" s="91" t="inlineStr">
        <is>
          <t>INVESTIMENTO TOTAL</t>
        </is>
      </c>
      <c r="C58" s="131" t="n"/>
      <c r="D58" s="131" t="n"/>
      <c r="E58" s="131" t="n"/>
      <c r="F58" s="132">
        <f>G17</f>
        <v/>
      </c>
      <c r="G58" s="133" t="n"/>
      <c r="I58" s="14" t="n"/>
    </row>
    <row r="59">
      <c r="B59" s="9" t="n"/>
      <c r="C59" s="26" t="n"/>
      <c r="D59" s="8" t="n"/>
      <c r="E59" s="27" t="n"/>
      <c r="F59" s="27" t="n"/>
      <c r="G59" s="134" t="n"/>
      <c r="I59" s="14" t="n"/>
    </row>
    <row r="60">
      <c r="B60" s="34" t="inlineStr">
        <is>
          <t>Observações:</t>
        </is>
      </c>
      <c r="C60" s="15" t="n"/>
      <c r="D60" s="16" t="n"/>
      <c r="I60" s="14" t="n"/>
    </row>
    <row r="61">
      <c r="B61" s="96" t="inlineStr">
        <is>
          <t>Condições de Pagamento: 30 dias.</t>
        </is>
      </c>
      <c r="I61" s="14" t="n"/>
    </row>
    <row r="62">
      <c r="B62" s="96" t="inlineStr">
        <is>
          <t>Faturamento: Nota fiscal de serviços</t>
        </is>
      </c>
      <c r="I62" s="14" t="n"/>
    </row>
    <row r="64">
      <c r="B64" s="135" t="inlineStr">
        <is>
          <t>Aceitação desta proposta via emissão de pedido de compras ou contrato específico</t>
        </is>
      </c>
      <c r="C64" s="136" t="n"/>
      <c r="D64" s="136" t="n"/>
      <c r="E64" s="136" t="n"/>
      <c r="F64" s="136" t="n"/>
      <c r="G64" s="137" t="n"/>
    </row>
    <row r="67">
      <c r="H67" s="17" t="n"/>
    </row>
    <row r="68">
      <c r="H68" s="17" t="n"/>
    </row>
    <row r="73" ht="23.25" customHeight="1">
      <c r="B73" s="88" t="inlineStr">
        <is>
          <t>ANEXO - CRONOGRAMA DE ATIVIDADES</t>
        </is>
      </c>
    </row>
  </sheetData>
  <mergeCells count="29">
    <mergeCell ref="E10:G10"/>
    <mergeCell ref="E17:E18"/>
    <mergeCell ref="B16:C16"/>
    <mergeCell ref="B20:G21"/>
    <mergeCell ref="G17:G18"/>
    <mergeCell ref="E13:G13"/>
    <mergeCell ref="B61:G61"/>
    <mergeCell ref="B43:G47"/>
    <mergeCell ref="D17:D18"/>
    <mergeCell ref="E9:G9"/>
    <mergeCell ref="B73:G73"/>
    <mergeCell ref="E6:G6"/>
    <mergeCell ref="E2:G2"/>
    <mergeCell ref="E11:G11"/>
    <mergeCell ref="F15:G15"/>
    <mergeCell ref="F17:F18"/>
    <mergeCell ref="B64:G64"/>
    <mergeCell ref="E7:G7"/>
    <mergeCell ref="B58:E58"/>
    <mergeCell ref="B54:G56"/>
    <mergeCell ref="B23:G24"/>
    <mergeCell ref="B26:G41"/>
    <mergeCell ref="F58:G58"/>
    <mergeCell ref="B62:G62"/>
    <mergeCell ref="B17:C18"/>
    <mergeCell ref="E8:G8"/>
    <mergeCell ref="B49:G50"/>
    <mergeCell ref="E4:G4"/>
    <mergeCell ref="B52:G52"/>
  </mergeCells>
  <printOptions horizontalCentered="1"/>
  <pageMargins left="0.1968503937007874" right="0.1968503937007874" top="0.1968503937007874" bottom="0.1968503937007874" header="0" footer="0"/>
  <pageSetup orientation="portrait" paperSize="9" scale="78" fitToHeight="2"/>
  <rowBreaks count="1" manualBreakCount="1">
    <brk id="68" min="1" max="6"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R30"/>
  <sheetViews>
    <sheetView tabSelected="1" workbookViewId="0">
      <selection activeCell="M31" sqref="M31"/>
    </sheetView>
  </sheetViews>
  <sheetFormatPr baseColWidth="8" defaultRowHeight="12.75"/>
  <cols>
    <col width="63.28515625" customWidth="1" min="2" max="2"/>
    <col width="5.140625" bestFit="1" customWidth="1" min="3" max="3"/>
    <col width="7" bestFit="1" customWidth="1" min="4" max="7"/>
    <col width="11.28515625" bestFit="1" customWidth="1" min="8" max="8"/>
    <col width="11.28515625" customWidth="1" min="9" max="9"/>
    <col width="12.140625" bestFit="1" customWidth="1" min="10" max="10"/>
    <col width="13.28515625" bestFit="1" customWidth="1" min="11" max="11"/>
    <col width="13.28515625" customWidth="1" min="12" max="13"/>
    <col width="16.5703125" customWidth="1" min="14" max="14"/>
    <col width="14.7109375" customWidth="1" min="15" max="15"/>
    <col width="10.7109375" customWidth="1" min="16" max="17"/>
    <col hidden="1" width="12.28515625" customWidth="1" min="18" max="18"/>
  </cols>
  <sheetData>
    <row r="2" ht="13.5" customHeight="1" thickBot="1">
      <c r="N2" s="46" t="n"/>
      <c r="R2" s="45" t="inlineStr">
        <is>
          <t>Sim</t>
        </is>
      </c>
    </row>
    <row r="3" ht="15.75" customHeight="1" thickBot="1">
      <c r="B3" s="57" t="inlineStr">
        <is>
          <t>ATIVIDADES DO PROJETO:                   |                  ETAPAS:</t>
        </is>
      </c>
      <c r="C3" s="58" t="n">
        <v>0</v>
      </c>
      <c r="D3" s="59" t="n">
        <v>1</v>
      </c>
      <c r="E3" s="59" t="n">
        <v>2</v>
      </c>
      <c r="F3" s="59" t="n">
        <v>3</v>
      </c>
      <c r="G3" s="60" t="n">
        <v>4</v>
      </c>
      <c r="K3" s="46" t="inlineStr">
        <is>
          <t>Marcus</t>
        </is>
      </c>
      <c r="L3" s="46" t="inlineStr">
        <is>
          <t>Gabriel</t>
        </is>
      </c>
      <c r="M3" s="45" t="n"/>
      <c r="N3" s="46" t="inlineStr">
        <is>
          <t>Urgência</t>
        </is>
      </c>
      <c r="O3" s="45" t="inlineStr">
        <is>
          <t>Não</t>
        </is>
      </c>
      <c r="P3" s="50" t="n"/>
      <c r="Q3" s="50" t="n"/>
      <c r="R3" s="79" t="inlineStr">
        <is>
          <t>Não</t>
        </is>
      </c>
    </row>
    <row r="4" ht="16.5" customHeight="1" thickBot="1" thickTop="1">
      <c r="B4" s="69" t="inlineStr">
        <is>
          <t>Início de Projeto</t>
        </is>
      </c>
      <c r="C4" s="70" t="inlineStr">
        <is>
          <t>dia 0</t>
        </is>
      </c>
      <c r="D4" s="53" t="n"/>
      <c r="E4" s="53" t="n"/>
      <c r="F4" s="53" t="n"/>
      <c r="G4" s="54" t="n"/>
      <c r="N4" s="46" t="inlineStr">
        <is>
          <t>Total Eq. Téc.</t>
        </is>
      </c>
      <c r="O4" s="138">
        <f>SUM(K24:L24)</f>
        <v/>
      </c>
      <c r="P4" s="50" t="n"/>
      <c r="Q4" s="50" t="n"/>
      <c r="R4" s="50" t="n"/>
    </row>
    <row r="5" ht="15" customHeight="1">
      <c r="B5" s="63" t="n"/>
      <c r="C5" s="72" t="n"/>
      <c r="D5" s="61" t="n"/>
      <c r="E5" s="73" t="n"/>
      <c r="F5" s="73" t="n"/>
      <c r="G5" s="56" t="n"/>
      <c r="N5" s="46" t="inlineStr">
        <is>
          <t>Total Projeto:</t>
        </is>
      </c>
      <c r="O5" s="138">
        <f>O4/0.35</f>
        <v/>
      </c>
      <c r="P5" s="139" t="n"/>
      <c r="Q5" s="139" t="n"/>
      <c r="R5" s="140" t="inlineStr">
        <is>
          <t>CFD</t>
        </is>
      </c>
    </row>
    <row r="6" ht="15" customHeight="1">
      <c r="B6" s="55" t="n"/>
      <c r="C6" s="72" t="n"/>
      <c r="D6" s="62" t="n"/>
      <c r="E6" s="73" t="n"/>
      <c r="F6" s="73" t="n"/>
      <c r="G6" s="56" t="n"/>
      <c r="N6" s="50" t="inlineStr">
        <is>
          <t>Rateio</t>
        </is>
      </c>
      <c r="O6" s="84" t="n">
        <v>0.35</v>
      </c>
      <c r="P6" s="139" t="n"/>
      <c r="Q6" s="139" t="n"/>
      <c r="R6" s="140" t="inlineStr">
        <is>
          <t>CFD + DEM</t>
        </is>
      </c>
    </row>
    <row r="7" ht="15" customHeight="1">
      <c r="B7" s="55" t="n"/>
      <c r="C7" s="72" t="n"/>
      <c r="D7" s="62" t="n"/>
      <c r="E7" s="73" t="n"/>
      <c r="F7" s="73" t="n"/>
      <c r="G7" s="56" t="n"/>
      <c r="N7" s="50" t="n"/>
      <c r="O7" s="139" t="n"/>
      <c r="P7" s="139" t="n"/>
      <c r="Q7" s="139" t="n"/>
      <c r="R7" s="140" t="inlineStr">
        <is>
          <t>FEA</t>
        </is>
      </c>
    </row>
    <row r="8" ht="15.75" customHeight="1" thickBot="1">
      <c r="B8" s="55" t="n"/>
      <c r="C8" s="72" t="n"/>
      <c r="D8" s="62" t="n"/>
      <c r="E8" s="73" t="n"/>
      <c r="F8" s="73" t="n"/>
      <c r="G8" s="56" t="n"/>
      <c r="N8" s="50" t="n"/>
      <c r="O8" s="139" t="n"/>
      <c r="P8" s="139" t="n"/>
      <c r="Q8" s="139" t="n"/>
      <c r="R8" s="140" t="inlineStr">
        <is>
          <t>EMAG</t>
        </is>
      </c>
    </row>
    <row r="9" ht="15.75" customHeight="1" thickBot="1">
      <c r="B9" s="66" t="inlineStr">
        <is>
          <t>Configuração Inicial</t>
        </is>
      </c>
      <c r="C9" s="67" t="n"/>
      <c r="D9" s="70">
        <f>"+" &amp; $H9 &amp; " dias"</f>
        <v/>
      </c>
      <c r="E9" s="73" t="n"/>
      <c r="F9" s="73" t="n"/>
      <c r="G9" s="56" t="n"/>
      <c r="H9" t="n">
        <v>5</v>
      </c>
      <c r="N9" s="141" t="n"/>
    </row>
    <row r="10" ht="15" customHeight="1">
      <c r="B10" s="63" t="inlineStr">
        <is>
          <t>Ajuste da geometria 3D (D_screw, D_shaft, pitch) com parâmetros reais Braskem</t>
        </is>
      </c>
      <c r="C10" s="65" t="n"/>
      <c r="D10" s="73" t="n"/>
      <c r="E10" s="61" t="n"/>
      <c r="F10" s="73" t="n"/>
      <c r="G10" s="56" t="n"/>
      <c r="L10" t="n">
        <v>2</v>
      </c>
    </row>
    <row r="11" ht="15" customHeight="1">
      <c r="B11" s="55" t="inlineStr">
        <is>
          <t>Setup DEM no Star-CCM+ 2506: Hertz-Mindlin + Liquid Bridge Force (Lian, 1993)</t>
        </is>
      </c>
      <c r="C11" s="73" t="n"/>
      <c r="D11" s="73" t="n"/>
      <c r="E11" s="62" t="n"/>
      <c r="F11" s="73" t="n"/>
      <c r="G11" s="56" t="n"/>
      <c r="K11" t="n">
        <v>1</v>
      </c>
      <c r="L11" t="n">
        <v>4</v>
      </c>
    </row>
    <row r="12" ht="15.75" customHeight="1" thickBot="1">
      <c r="B12" s="55" t="inlineStr">
        <is>
          <t>Calibração dos parâmetros de partícula (granulometria + bulk density do PEAD)</t>
        </is>
      </c>
      <c r="C12" s="73" t="n"/>
      <c r="D12" s="73" t="n"/>
      <c r="E12" s="62" t="n"/>
      <c r="F12" s="73" t="n"/>
      <c r="G12" s="56" t="n"/>
      <c r="K12" t="n">
        <v>1</v>
      </c>
      <c r="L12" t="n">
        <v>2</v>
      </c>
    </row>
    <row r="13" ht="15.75" customHeight="1" thickBot="1">
      <c r="B13" s="66" t="inlineStr">
        <is>
          <t>Simulações dos Cenários</t>
        </is>
      </c>
      <c r="C13" s="68" t="n"/>
      <c r="D13" s="68" t="n"/>
      <c r="E13" s="70">
        <f>"+" &amp; $H13 &amp; " dias"</f>
        <v/>
      </c>
      <c r="F13" s="73" t="n"/>
      <c r="G13" s="56" t="n"/>
      <c r="H13" t="n">
        <v>15</v>
      </c>
    </row>
    <row r="14" ht="15" customHeight="1">
      <c r="B14" s="63" t="inlineStr">
        <is>
          <t>Caso 1 — Rosca padrão: análise de zonas de velocidade ≈ 0 (embuchamento)</t>
        </is>
      </c>
      <c r="C14" s="73" t="n"/>
      <c r="D14" s="73" t="n"/>
      <c r="E14" s="73" t="n"/>
      <c r="F14" s="61" t="n"/>
      <c r="G14" s="56" t="n"/>
      <c r="L14" t="n">
        <v>8</v>
      </c>
    </row>
    <row r="15" ht="15" customHeight="1">
      <c r="B15" s="55" t="inlineStr">
        <is>
          <t>Caso 2 — Rosca cut-flight: comparação com o caso base</t>
        </is>
      </c>
      <c r="C15" s="73" t="n"/>
      <c r="D15" s="73" t="n"/>
      <c r="E15" s="73" t="n"/>
      <c r="F15" s="62" t="n"/>
      <c r="G15" s="56" t="n"/>
      <c r="L15" t="n">
        <v>8</v>
      </c>
    </row>
    <row r="16" ht="15.75" customHeight="1" thickBot="1">
      <c r="B16" s="55" t="inlineStr">
        <is>
          <t>Análise de campos de pressão e tensão sobre as partículas DEM</t>
        </is>
      </c>
      <c r="C16" s="73" t="n"/>
      <c r="D16" s="73" t="n"/>
      <c r="E16" s="73" t="n"/>
      <c r="F16" s="62" t="n"/>
      <c r="G16" s="56" t="n"/>
      <c r="K16" t="n">
        <v>2</v>
      </c>
      <c r="L16" t="n">
        <v>4</v>
      </c>
    </row>
    <row r="17" ht="15.75" customHeight="1" thickBot="1">
      <c r="B17" s="66" t="inlineStr">
        <is>
          <t>Finalização</t>
        </is>
      </c>
      <c r="C17" s="68" t="n"/>
      <c r="D17" s="68" t="n"/>
      <c r="E17" s="68" t="n"/>
      <c r="F17" s="70">
        <f>"+" &amp; $H17 &amp; " dias"</f>
        <v/>
      </c>
      <c r="G17" s="56" t="n"/>
      <c r="H17" t="n">
        <v>5</v>
      </c>
    </row>
    <row r="18" ht="15" customHeight="1">
      <c r="B18" s="55" t="inlineStr">
        <is>
          <t>Pós-processamento: campos de velocidade, pressão e distribuição de partículas</t>
        </is>
      </c>
      <c r="C18" s="73" t="n"/>
      <c r="D18" s="73" t="n"/>
      <c r="E18" s="73" t="n"/>
      <c r="F18" s="73" t="n"/>
      <c r="G18" s="62" t="n"/>
      <c r="L18" t="n">
        <v>3</v>
      </c>
    </row>
    <row r="19" ht="15" customHeight="1">
      <c r="B19" s="55" t="inlineStr">
        <is>
          <t>Comparação quantitativa rosca padrão vs. cut-flight + identificação de zonas críticas</t>
        </is>
      </c>
      <c r="C19" s="73" t="n"/>
      <c r="D19" s="73" t="n"/>
      <c r="E19" s="73" t="n"/>
      <c r="F19" s="73" t="n"/>
      <c r="G19" s="62" t="n"/>
      <c r="K19" t="n">
        <v>1</v>
      </c>
      <c r="L19" t="n">
        <v>3</v>
      </c>
    </row>
    <row r="20" ht="15.75" customHeight="1" thickBot="1">
      <c r="B20" s="64" t="inlineStr">
        <is>
          <t>Elaboração do relatório técnico em formato .ppt com metodologia e recomendações</t>
        </is>
      </c>
      <c r="C20" s="73" t="n"/>
      <c r="D20" s="73" t="n"/>
      <c r="E20" s="73" t="n"/>
      <c r="F20" s="73" t="n"/>
      <c r="G20" s="62" t="n"/>
      <c r="K20" t="n">
        <v>1</v>
      </c>
      <c r="L20" t="n">
        <v>2</v>
      </c>
    </row>
    <row r="21" ht="15.75" customHeight="1" thickBot="1">
      <c r="B21" s="66" t="inlineStr">
        <is>
          <t>Reunião Final Online</t>
        </is>
      </c>
      <c r="C21" s="68" t="n"/>
      <c r="D21" s="68" t="n"/>
      <c r="E21" s="68" t="n"/>
      <c r="F21" s="68" t="n"/>
      <c r="G21" s="70">
        <f>"+" &amp; $H21 &amp; " dias"</f>
        <v/>
      </c>
      <c r="H21" t="n">
        <v>25</v>
      </c>
      <c r="K21" t="n">
        <v>2</v>
      </c>
      <c r="L21" t="n">
        <v>2</v>
      </c>
    </row>
    <row r="22">
      <c r="H22">
        <f>SUM(H5:H21)</f>
        <v/>
      </c>
      <c r="J22" s="46" t="inlineStr">
        <is>
          <t>Total Horas</t>
        </is>
      </c>
      <c r="K22">
        <f>SUM(K4:K21)</f>
        <v/>
      </c>
      <c r="L22">
        <f>SUM(L4:L21)</f>
        <v/>
      </c>
    </row>
    <row r="23">
      <c r="J23" s="46" t="inlineStr">
        <is>
          <t>Valor HH</t>
        </is>
      </c>
      <c r="K23" s="141">
        <f>VLOOKUP(K3,'Tabela HH'!$H$4:$K$19,IF($O$3="Sim",4,3),0)</f>
        <v/>
      </c>
      <c r="L23" s="141">
        <f>VLOOKUP(L3,'Tabela HH'!$H$4:$K$19,IF($O$3="Sim",4,3),0)</f>
        <v/>
      </c>
    </row>
    <row r="24">
      <c r="K24" s="138">
        <f>K22*VLOOKUP(K3,'Tabela HH'!$H$4:$K$19,IF($O$3="Sim",4,3),0)</f>
        <v/>
      </c>
      <c r="L24" s="138">
        <f>L22*VLOOKUP(L3,'Tabela HH'!$H$4:$K$19,IF($O$3="Sim",4,3),0)</f>
        <v/>
      </c>
    </row>
    <row r="25">
      <c r="J25" s="46" t="inlineStr">
        <is>
          <t>% Calculado</t>
        </is>
      </c>
      <c r="K25" s="142">
        <f>K24/$O$4*$O$6</f>
        <v/>
      </c>
      <c r="L25" s="142">
        <f>L24/$O$4*$O$6</f>
        <v/>
      </c>
      <c r="M25" s="74">
        <f>SUM(K25:L25)</f>
        <v/>
      </c>
    </row>
    <row r="26">
      <c r="C26" s="45" t="n"/>
    </row>
    <row r="27">
      <c r="B27" s="45" t="n"/>
      <c r="C27" s="45" t="n"/>
    </row>
    <row r="28">
      <c r="B28" s="45" t="n"/>
    </row>
    <row r="29">
      <c r="B29" s="45" t="n"/>
    </row>
    <row r="30" ht="15" customHeight="1">
      <c r="B30" s="48" t="n"/>
    </row>
  </sheetData>
  <dataValidations count="1">
    <dataValidation sqref="O3" showDropDown="0" showInputMessage="1" showErrorMessage="1" allowBlank="1" type="list">
      <formula1>SimNao</formula1>
    </dataValidation>
  </dataValidations>
  <pageMargins left="0.511811024" right="0.511811024" top="0.787401575" bottom="0.787401575" header="0.31496062" footer="0.31496062"/>
  <pageSetup orientation="portrait" paperSize="9"/>
</worksheet>
</file>

<file path=xl/worksheets/sheet3.xml><?xml version="1.0" encoding="utf-8"?>
<worksheet xmlns="http://schemas.openxmlformats.org/spreadsheetml/2006/main">
  <sheetPr>
    <outlinePr summaryBelow="1" summaryRight="1"/>
    <pageSetUpPr/>
  </sheetPr>
  <dimension ref="A1:K21"/>
  <sheetViews>
    <sheetView workbookViewId="0">
      <selection activeCell="I11" sqref="I11"/>
    </sheetView>
  </sheetViews>
  <sheetFormatPr baseColWidth="8" defaultRowHeight="12.75"/>
  <cols>
    <col width="16.140625" bestFit="1" customWidth="1" min="1" max="1"/>
    <col width="12" customWidth="1" min="2" max="2"/>
    <col width="13.28515625" customWidth="1" min="3" max="3"/>
    <col width="12.85546875" customWidth="1" min="4" max="4"/>
    <col width="10.5703125" bestFit="1" customWidth="1" min="5" max="5"/>
    <col width="9.85546875" bestFit="1" customWidth="1" min="8" max="8"/>
    <col width="12.140625" bestFit="1" customWidth="1" min="9" max="9"/>
    <col width="10.7109375" bestFit="1" customWidth="1" min="10" max="10"/>
    <col width="11.28515625" bestFit="1" customWidth="1" min="11" max="11"/>
  </cols>
  <sheetData>
    <row r="1">
      <c r="A1" s="114" t="inlineStr">
        <is>
          <t>HH Projetos Geral; Acima de 60 dias de duração e HH de Viagens</t>
        </is>
      </c>
    </row>
    <row r="2">
      <c r="A2" s="49" t="n"/>
      <c r="B2" s="50" t="inlineStr">
        <is>
          <t>CAD</t>
        </is>
      </c>
      <c r="C2" s="50" t="inlineStr">
        <is>
          <t>FEA</t>
        </is>
      </c>
      <c r="D2" s="50" t="inlineStr">
        <is>
          <t>CFD</t>
        </is>
      </c>
      <c r="E2" s="50" t="inlineStr">
        <is>
          <t>EMAG</t>
        </is>
      </c>
    </row>
    <row r="3">
      <c r="A3" s="50" t="inlineStr">
        <is>
          <t>Estagiário</t>
        </is>
      </c>
      <c r="B3" s="139" t="n">
        <v>15</v>
      </c>
      <c r="C3" s="139" t="n">
        <v>20</v>
      </c>
      <c r="D3" s="139" t="n">
        <v>30</v>
      </c>
      <c r="E3" s="139" t="n">
        <v>30</v>
      </c>
      <c r="H3" s="46" t="inlineStr">
        <is>
          <t>Equipe</t>
        </is>
      </c>
      <c r="I3" s="46" t="inlineStr">
        <is>
          <t>Senioridade</t>
        </is>
      </c>
      <c r="J3" s="46" t="inlineStr">
        <is>
          <t>HH Normal</t>
        </is>
      </c>
      <c r="K3" s="46" t="inlineStr">
        <is>
          <t>HH Urgente</t>
        </is>
      </c>
    </row>
    <row r="4">
      <c r="A4" s="50" t="inlineStr">
        <is>
          <t>Junior</t>
        </is>
      </c>
      <c r="B4" s="139" t="n">
        <v>30</v>
      </c>
      <c r="C4" s="139" t="n">
        <v>40</v>
      </c>
      <c r="D4" s="139" t="n">
        <v>50</v>
      </c>
      <c r="E4" s="139" t="n">
        <v>50</v>
      </c>
      <c r="G4" s="50" t="n"/>
      <c r="H4" s="45" t="inlineStr">
        <is>
          <t>Marcus</t>
        </is>
      </c>
      <c r="I4" s="45" t="inlineStr">
        <is>
          <t>Senior</t>
        </is>
      </c>
      <c r="J4" s="141">
        <f>VLOOKUP(I4,$A$3:$E$6,4,0)</f>
        <v/>
      </c>
      <c r="K4" s="141">
        <f>VLOOKUP(I4,$A$12:$E$15,4,0)</f>
        <v/>
      </c>
    </row>
    <row r="5">
      <c r="A5" s="50" t="inlineStr">
        <is>
          <t>Pleno</t>
        </is>
      </c>
      <c r="B5" s="139" t="n">
        <v>50</v>
      </c>
      <c r="C5" s="139" t="n">
        <v>60</v>
      </c>
      <c r="D5" s="139">
        <f>75</f>
        <v/>
      </c>
      <c r="E5" s="139" t="n">
        <v>75</v>
      </c>
      <c r="G5" s="50" t="n"/>
      <c r="H5" s="79" t="inlineStr">
        <is>
          <t>Matheus</t>
        </is>
      </c>
      <c r="I5" s="45" t="inlineStr">
        <is>
          <t>Pleno</t>
        </is>
      </c>
      <c r="J5" s="141">
        <f>VLOOKUP(I5,$A$3:$E$6,4,0)</f>
        <v/>
      </c>
      <c r="K5" s="141">
        <f>VLOOKUP(I5,$A$12:$E$15,4,0)</f>
        <v/>
      </c>
    </row>
    <row r="6">
      <c r="A6" s="50" t="inlineStr">
        <is>
          <t>Senior</t>
        </is>
      </c>
      <c r="B6" s="139" t="n">
        <v>80</v>
      </c>
      <c r="C6" s="139">
        <f>90</f>
        <v/>
      </c>
      <c r="D6" s="139">
        <f>100</f>
        <v/>
      </c>
      <c r="E6" s="139" t="n">
        <v>100</v>
      </c>
      <c r="G6" s="50" t="n"/>
      <c r="H6" s="45" t="inlineStr">
        <is>
          <t>Otávio</t>
        </is>
      </c>
      <c r="I6" s="45" t="inlineStr">
        <is>
          <t>Pleno</t>
        </is>
      </c>
      <c r="J6" s="141">
        <f>VLOOKUP(I6,$A$3:$E$6,4,0)</f>
        <v/>
      </c>
      <c r="K6" s="141">
        <f>VLOOKUP(I6,$A$12:$E$15,4,0)</f>
        <v/>
      </c>
    </row>
    <row r="7">
      <c r="G7" s="50" t="n"/>
      <c r="H7" s="45" t="inlineStr">
        <is>
          <t>Humberto</t>
        </is>
      </c>
      <c r="I7" s="45" t="inlineStr">
        <is>
          <t>Junior</t>
        </is>
      </c>
      <c r="J7" s="141">
        <f>VLOOKUP(I7,$A$3:$E$6,4,0)</f>
        <v/>
      </c>
      <c r="K7" s="141">
        <f>VLOOKUP(I7,$A$12:$E$15,4,0)</f>
        <v/>
      </c>
    </row>
    <row r="8">
      <c r="G8" s="50" t="n"/>
      <c r="H8" s="45" t="inlineStr">
        <is>
          <t>João</t>
        </is>
      </c>
      <c r="I8" s="45" t="inlineStr">
        <is>
          <t>Estagiário</t>
        </is>
      </c>
      <c r="J8" s="141">
        <f>VLOOKUP(I8,$A$3:$E$6,4,0)</f>
        <v/>
      </c>
      <c r="K8" s="141">
        <f>VLOOKUP(I8,$A$12:$E$15,4,0)</f>
        <v/>
      </c>
    </row>
    <row r="9">
      <c r="A9" s="114" t="inlineStr">
        <is>
          <t>HH Projetos Geral; Abaixo de 60 dias de duração ou urgentes</t>
        </is>
      </c>
      <c r="G9" s="50" t="n"/>
      <c r="H9" s="45" t="inlineStr">
        <is>
          <t>Vitor</t>
        </is>
      </c>
      <c r="I9" s="45" t="inlineStr">
        <is>
          <t>Estagiário</t>
        </is>
      </c>
      <c r="J9" s="141">
        <f>VLOOKUP(I9,$A$3:$E$6,4,0)</f>
        <v/>
      </c>
      <c r="K9" s="141">
        <f>VLOOKUP(I9,$A$12:$E$15,4,0)</f>
        <v/>
      </c>
    </row>
    <row r="10">
      <c r="A10" s="114" t="n"/>
      <c r="B10" s="114" t="n"/>
      <c r="C10" s="114" t="n"/>
      <c r="D10" s="114" t="n"/>
      <c r="E10" s="114" t="n"/>
      <c r="G10" s="50" t="n"/>
      <c r="H10" s="45" t="inlineStr">
        <is>
          <t>Gabriel</t>
        </is>
      </c>
      <c r="I10" s="45" t="inlineStr">
        <is>
          <t>Junior</t>
        </is>
      </c>
      <c r="J10" s="141">
        <f>VLOOKUP(I10,$A$3:$E$6,4,0)</f>
        <v/>
      </c>
      <c r="K10" s="141">
        <f>VLOOKUP(I10,$A$12:$E$15,4,0)</f>
        <v/>
      </c>
    </row>
    <row r="11">
      <c r="A11" s="49" t="n"/>
      <c r="B11" s="50" t="inlineStr">
        <is>
          <t>CAD</t>
        </is>
      </c>
      <c r="C11" s="50" t="inlineStr">
        <is>
          <t>FEA</t>
        </is>
      </c>
      <c r="D11" s="50" t="inlineStr">
        <is>
          <t>CFD</t>
        </is>
      </c>
      <c r="E11" s="50" t="inlineStr">
        <is>
          <t>EMAG</t>
        </is>
      </c>
      <c r="G11" s="114" t="n"/>
      <c r="H11" s="79" t="inlineStr">
        <is>
          <t>Vinicius</t>
        </is>
      </c>
      <c r="I11" s="45" t="inlineStr">
        <is>
          <t>Estagiário</t>
        </is>
      </c>
      <c r="J11" s="141">
        <f>VLOOKUP(I11,$A$3:$E$6,4,0)</f>
        <v/>
      </c>
      <c r="K11" s="141">
        <f>VLOOKUP(I11,$A$12:$E$15,4,0)</f>
        <v/>
      </c>
    </row>
    <row r="12">
      <c r="A12" s="50" t="inlineStr">
        <is>
          <t>Estagiário</t>
        </is>
      </c>
      <c r="B12" s="139">
        <f>1.4*B3</f>
        <v/>
      </c>
      <c r="C12" s="139">
        <f>1.4*C3</f>
        <v/>
      </c>
      <c r="D12" s="139">
        <f>1.4*D3</f>
        <v/>
      </c>
      <c r="E12" s="139">
        <f>1.4*E3</f>
        <v/>
      </c>
      <c r="G12" s="50" t="n"/>
      <c r="H12" s="45" t="inlineStr">
        <is>
          <t>Guerra</t>
        </is>
      </c>
      <c r="I12" s="45" t="inlineStr">
        <is>
          <t>Externo</t>
        </is>
      </c>
      <c r="J12" s="141" t="n">
        <v>120</v>
      </c>
      <c r="K12" s="141" t="n">
        <v>120</v>
      </c>
    </row>
    <row r="13">
      <c r="A13" s="50" t="inlineStr">
        <is>
          <t>Junior</t>
        </is>
      </c>
      <c r="B13" s="139">
        <f>1.4*B4</f>
        <v/>
      </c>
      <c r="C13" s="139">
        <f>1.4*C4</f>
        <v/>
      </c>
      <c r="D13" s="139">
        <f>1.4*D4</f>
        <v/>
      </c>
      <c r="E13" s="139">
        <f>1.4*E4</f>
        <v/>
      </c>
      <c r="G13" s="50" t="n"/>
      <c r="H13" s="45" t="inlineStr">
        <is>
          <t>Pedro</t>
        </is>
      </c>
      <c r="I13" s="45" t="inlineStr">
        <is>
          <t>Pleno</t>
        </is>
      </c>
      <c r="J13" s="141">
        <f>VLOOKUP(I13,$A$3:$E$6,5,0)</f>
        <v/>
      </c>
      <c r="K13" s="141">
        <f>VLOOKUP(I13,$A$12:$E$15,5,0)</f>
        <v/>
      </c>
    </row>
    <row r="14">
      <c r="A14" s="50" t="inlineStr">
        <is>
          <t>Pleno</t>
        </is>
      </c>
      <c r="B14" s="139">
        <f>1.4*B5</f>
        <v/>
      </c>
      <c r="C14" s="139">
        <f>1.4*C5</f>
        <v/>
      </c>
      <c r="D14" s="139">
        <f>1.4*D5</f>
        <v/>
      </c>
      <c r="E14" s="139">
        <f>1.4*E5</f>
        <v/>
      </c>
      <c r="G14" s="50" t="n"/>
      <c r="H14" s="45" t="inlineStr">
        <is>
          <t>Diego</t>
        </is>
      </c>
      <c r="I14" s="45" t="inlineStr">
        <is>
          <t>Junior</t>
        </is>
      </c>
      <c r="J14" s="141">
        <f>VLOOKUP(I14,$A$3:$E$6,4,0)</f>
        <v/>
      </c>
      <c r="K14" s="141">
        <f>VLOOKUP(I14,$A$12:$E$15,4,0)</f>
        <v/>
      </c>
    </row>
    <row r="15">
      <c r="A15" s="50" t="inlineStr">
        <is>
          <t>Senior</t>
        </is>
      </c>
      <c r="B15" s="139">
        <f>1.4*B6</f>
        <v/>
      </c>
      <c r="C15" s="139">
        <f>1.4*C6</f>
        <v/>
      </c>
      <c r="D15" s="139">
        <f>1.4*D6</f>
        <v/>
      </c>
      <c r="E15" s="139">
        <f>1.4*E6</f>
        <v/>
      </c>
      <c r="G15" s="50" t="n"/>
      <c r="H15" s="45" t="inlineStr">
        <is>
          <t>Leandro</t>
        </is>
      </c>
      <c r="I15" s="45" t="inlineStr">
        <is>
          <t>Senior</t>
        </is>
      </c>
      <c r="J15" s="141">
        <f>VLOOKUP(I15,$A$3:$E$6,3,0)</f>
        <v/>
      </c>
      <c r="K15" s="141">
        <f>VLOOKUP(I15,$A$12:$E$15,3,0)</f>
        <v/>
      </c>
    </row>
    <row r="16">
      <c r="H16" s="45" t="inlineStr">
        <is>
          <t>Simas</t>
        </is>
      </c>
      <c r="I16" s="45" t="inlineStr">
        <is>
          <t>Junior</t>
        </is>
      </c>
      <c r="J16" s="141">
        <f>VLOOKUP(I16,$A$3:$E$6,3,0)</f>
        <v/>
      </c>
      <c r="K16" s="141">
        <f>VLOOKUP(I16,$A$12:$E$15,3,0)</f>
        <v/>
      </c>
    </row>
    <row r="17">
      <c r="H17" s="79" t="inlineStr">
        <is>
          <t>Alvaro</t>
        </is>
      </c>
      <c r="I17" s="45" t="inlineStr">
        <is>
          <t>Estagiário</t>
        </is>
      </c>
      <c r="J17" s="141">
        <f>VLOOKUP(I17,$A$3:$E$6,3,0)</f>
        <v/>
      </c>
      <c r="K17" s="141">
        <f>VLOOKUP(I17,$A$12:$E$15,3,0)</f>
        <v/>
      </c>
    </row>
    <row r="18">
      <c r="A18" s="115" t="inlineStr">
        <is>
          <t>Consultores Externos</t>
        </is>
      </c>
      <c r="H18" s="45" t="inlineStr">
        <is>
          <t>Burato</t>
        </is>
      </c>
      <c r="I18" s="45" t="inlineStr">
        <is>
          <t>Externo</t>
        </is>
      </c>
      <c r="J18" s="141" t="n">
        <v>150</v>
      </c>
      <c r="K18" s="141" t="n">
        <v>150</v>
      </c>
    </row>
    <row r="19">
      <c r="A19" s="46" t="inlineStr">
        <is>
          <t>Carlos Burato</t>
        </is>
      </c>
      <c r="B19" s="141" t="n">
        <v>150</v>
      </c>
      <c r="H19" s="45" t="inlineStr">
        <is>
          <t xml:space="preserve">Marcio </t>
        </is>
      </c>
      <c r="I19" s="45" t="inlineStr">
        <is>
          <t>Externo</t>
        </is>
      </c>
      <c r="J19" s="141" t="n">
        <v>100</v>
      </c>
      <c r="K19" s="141" t="n">
        <v>100</v>
      </c>
    </row>
    <row r="20">
      <c r="A20" s="46" t="inlineStr">
        <is>
          <t>Marcelo Guerra</t>
        </is>
      </c>
      <c r="B20" s="141" t="n">
        <v>120</v>
      </c>
    </row>
    <row r="21">
      <c r="A21" s="46" t="inlineStr">
        <is>
          <t>Marcio Demétrio</t>
        </is>
      </c>
      <c r="B21" s="141" t="n">
        <v>100</v>
      </c>
    </row>
  </sheetData>
  <mergeCells count="3">
    <mergeCell ref="A1:E1"/>
    <mergeCell ref="A9:E9"/>
    <mergeCell ref="A18:E18"/>
  </mergeCell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Marcus Reis</dc:creator>
  <dcterms:created xmlns:dcterms="http://purl.org/dc/terms/" xmlns:xsi="http://www.w3.org/2001/XMLSchema-instance" xsi:type="dcterms:W3CDTF">2000-12-10T19:04:38Z</dcterms:created>
  <dcterms:modified xmlns:dcterms="http://purl.org/dc/terms/" xmlns:xsi="http://www.w3.org/2001/XMLSchema-instance" xsi:type="dcterms:W3CDTF">2026-06-25T19:52:45Z</dcterms:modified>
  <cp:lastModifiedBy>Marcus Castro Neves</cp:lastModifiedBy>
  <cp:lastPrinted>2023-07-19T09:58:00Z</cp:lastPrinted>
</cp:coreProperties>
</file>