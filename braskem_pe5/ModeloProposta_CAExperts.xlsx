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autoCompressPictures="0"/>
  <mc:AlternateContent xmlns:mc="http://schemas.openxmlformats.org/markup-compatibility/2006">
    <mc:Choice Requires="x15">
      <x15ac:absPath xmlns:x15ac="http://schemas.microsoft.com/office/spreadsheetml/2010/11/ac" url="D:\Documents\CAEXPERTS\1. Documentos CAEXPERTS\"/>
    </mc:Choice>
  </mc:AlternateContent>
  <xr:revisionPtr revIDLastSave="0" documentId="13_ncr:1_{1E94AB99-AF21-4F83-9E51-C7CD5BF3D23A}" xr6:coauthVersionLast="47" xr6:coauthVersionMax="47" xr10:uidLastSave="{00000000-0000-0000-0000-000000000000}"/>
  <bookViews>
    <workbookView xWindow="-120" yWindow="-120" windowWidth="29040" windowHeight="15720" activeTab="1" xr2:uid="{00000000-000D-0000-FFFF-FFFF00000000}"/>
  </bookViews>
  <sheets>
    <sheet name="Proposta" sheetId="10" r:id="rId1"/>
    <sheet name="Cronograma" sheetId="11" r:id="rId2"/>
    <sheet name="Tabela HH" sheetId="12" r:id="rId3"/>
  </sheets>
  <definedNames>
    <definedName name="_xlnm.Print_Area" localSheetId="0">Proposta!$B$1:$G$124</definedName>
    <definedName name="SimNao">Cronograma!$R$2:$R$3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3" i="11" l="1"/>
  <c r="L24" i="11"/>
  <c r="K24" i="11"/>
  <c r="K23" i="11"/>
  <c r="K11" i="12"/>
  <c r="J11" i="12"/>
  <c r="J10" i="12"/>
  <c r="J14" i="12"/>
  <c r="J9" i="12"/>
  <c r="J7" i="12"/>
  <c r="J8" i="12"/>
  <c r="H22" i="11"/>
  <c r="G21" i="11"/>
  <c r="F17" i="11"/>
  <c r="E13" i="11"/>
  <c r="D9" i="11"/>
  <c r="J17" i="12"/>
  <c r="J16" i="12"/>
  <c r="J13" i="12"/>
  <c r="B13" i="12"/>
  <c r="C13" i="12"/>
  <c r="K16" i="12" s="1"/>
  <c r="D13" i="12"/>
  <c r="K7" i="12" s="1"/>
  <c r="E13" i="12"/>
  <c r="B14" i="12"/>
  <c r="C14" i="12"/>
  <c r="E14" i="12"/>
  <c r="K13" i="12" s="1"/>
  <c r="B15" i="12"/>
  <c r="E15" i="12"/>
  <c r="C12" i="12"/>
  <c r="K17" i="12" s="1"/>
  <c r="D12" i="12"/>
  <c r="K8" i="12" s="1"/>
  <c r="E12" i="12"/>
  <c r="B12" i="12"/>
  <c r="C6" i="12"/>
  <c r="J15" i="12" s="1"/>
  <c r="D6" i="12"/>
  <c r="J4" i="12" s="1"/>
  <c r="D5" i="12"/>
  <c r="J6" i="12" s="1"/>
  <c r="L22" i="11"/>
  <c r="K22" i="11"/>
  <c r="J5" i="12" l="1"/>
  <c r="K10" i="12"/>
  <c r="K14" i="12"/>
  <c r="K9" i="12"/>
  <c r="D15" i="12"/>
  <c r="K4" i="12" s="1"/>
  <c r="D14" i="12"/>
  <c r="K6" i="12" s="1"/>
  <c r="C15" i="12"/>
  <c r="K15" i="12" s="1"/>
  <c r="E13" i="10"/>
  <c r="K5" i="12" l="1"/>
  <c r="O4" i="11"/>
  <c r="L25" i="11" s="1"/>
  <c r="K25" i="11" l="1"/>
  <c r="M25" i="11" s="1"/>
  <c r="O5" i="11"/>
  <c r="F17" i="10" s="1"/>
  <c r="G17" i="10" s="1"/>
  <c r="F58" i="10" s="1"/>
</calcChain>
</file>

<file path=xl/sharedStrings.xml><?xml version="1.0" encoding="utf-8"?>
<sst xmlns="http://schemas.openxmlformats.org/spreadsheetml/2006/main" count="117" uniqueCount="88">
  <si>
    <t>Item</t>
  </si>
  <si>
    <t>CNPJ: 15.806.919/0001-44 - Inscrição Estadual: 25.676.225-2</t>
  </si>
  <si>
    <t>Ricardo Barbosa de Barros</t>
  </si>
  <si>
    <t>Rod Jose Carlos Daux, km 01 - Edifício CELTA, 3º andar - Sala 2.02</t>
  </si>
  <si>
    <t>CEP: 88030-902 - Bairro João Paulo</t>
  </si>
  <si>
    <t>Florianópolis – SC – Brasil</t>
  </si>
  <si>
    <t>barros@caexperts.com.br</t>
  </si>
  <si>
    <t>DATA:</t>
  </si>
  <si>
    <t>DE:</t>
  </si>
  <si>
    <t>PARA:</t>
  </si>
  <si>
    <t>VÁLIDO ATÉ:</t>
  </si>
  <si>
    <t>(48) 9 9919 3243</t>
  </si>
  <si>
    <t>Razão Social: Creative Solutions Engenharia e Consultoria LTDA</t>
  </si>
  <si>
    <t>Tipo</t>
  </si>
  <si>
    <t>Quant.</t>
  </si>
  <si>
    <t>Valor Unit.</t>
  </si>
  <si>
    <t>Valor Total</t>
  </si>
  <si>
    <t>Serviço</t>
  </si>
  <si>
    <t>INVESTIMENTO TOTAL</t>
  </si>
  <si>
    <t>Observações:</t>
  </si>
  <si>
    <t>Faturamento: Nota fiscal de serviços</t>
  </si>
  <si>
    <t>Aceitação desta proposta via emissão de pedido de compras ou contrato específico</t>
  </si>
  <si>
    <t>ANEXO - CRONOGRAMA DE ATIVIDADES</t>
  </si>
  <si>
    <t>Condições de Pagamento: 30 dias.</t>
  </si>
  <si>
    <t>ATIVIDADES DO PROJETO:                   |                  ETAPAS:</t>
  </si>
  <si>
    <t>CAD</t>
  </si>
  <si>
    <t>FEA</t>
  </si>
  <si>
    <t>CFD</t>
  </si>
  <si>
    <t>EMAG</t>
  </si>
  <si>
    <t>Estagiário</t>
  </si>
  <si>
    <t>Junior</t>
  </si>
  <si>
    <t>% Calculado</t>
  </si>
  <si>
    <t>Finalização</t>
  </si>
  <si>
    <t>dia 0</t>
  </si>
  <si>
    <t>Marcus</t>
  </si>
  <si>
    <t>Matheus</t>
  </si>
  <si>
    <t>Leandro</t>
  </si>
  <si>
    <t>Total Eq. Téc.</t>
  </si>
  <si>
    <t>Total Projeto:</t>
  </si>
  <si>
    <t>Humberto</t>
  </si>
  <si>
    <t>Configuração Inicial</t>
  </si>
  <si>
    <t>Simulações dos Cenários</t>
  </si>
  <si>
    <t>Pleno</t>
  </si>
  <si>
    <t>Senior</t>
  </si>
  <si>
    <t>HH Projetos Geral; Abaixo de 60 dias de duração ou urgentes</t>
  </si>
  <si>
    <t>Consultores Externos</t>
  </si>
  <si>
    <t>Carlos Burato</t>
  </si>
  <si>
    <t>Marcelo Guerra</t>
  </si>
  <si>
    <t>HH Projetos Geral; Acima de 60 dias de duração e HH de Viagens</t>
  </si>
  <si>
    <t>Otávio</t>
  </si>
  <si>
    <t>Pedro</t>
  </si>
  <si>
    <t>Simas</t>
  </si>
  <si>
    <t>Guerra</t>
  </si>
  <si>
    <t>Burato</t>
  </si>
  <si>
    <t>Equipe</t>
  </si>
  <si>
    <t>João</t>
  </si>
  <si>
    <t>Alvaro</t>
  </si>
  <si>
    <t>Senioridade</t>
  </si>
  <si>
    <t>HH Urgente</t>
  </si>
  <si>
    <t>HH Normal</t>
  </si>
  <si>
    <t>Externo</t>
  </si>
  <si>
    <t>Urgência</t>
  </si>
  <si>
    <t>Sim</t>
  </si>
  <si>
    <t>Não</t>
  </si>
  <si>
    <t>Valor HH</t>
  </si>
  <si>
    <t>Total Horas</t>
  </si>
  <si>
    <r>
      <rPr>
        <b/>
        <sz val="10"/>
        <rFont val="Calibri"/>
        <family val="2"/>
        <scheme val="minor"/>
      </rPr>
      <t xml:space="preserve">Recursos: </t>
    </r>
    <r>
      <rPr>
        <sz val="10"/>
        <rFont val="Calibri"/>
        <family val="2"/>
        <scheme val="minor"/>
      </rPr>
      <t>Empregaremos neste projeto uma equipe técnica de consultores experientes na solução de problemas industriais com o apoio de ferramentas de CAE avançadas da SIEMENS, como o STAR-CCM+, referência mundial na área de fluidodinâmica.</t>
    </r>
  </si>
  <si>
    <r>
      <rPr>
        <b/>
        <sz val="10"/>
        <rFont val="Calibri"/>
        <family val="2"/>
        <scheme val="minor"/>
      </rPr>
      <t>Requisitos/Dados Necessários ao Projeto:</t>
    </r>
    <r>
      <rPr>
        <sz val="10"/>
        <rFont val="Calibri"/>
        <family val="2"/>
        <scheme val="minor"/>
      </rPr>
      <t xml:space="preserve"> CAD 3D do caminhão tanque em formato .iges, parasolid ou step, curva de aceleração e desaceleração ou valores médios e dados do líquido (densidade e viscosidade).</t>
    </r>
  </si>
  <si>
    <r>
      <rPr>
        <b/>
        <sz val="10"/>
        <rFont val="Calibri"/>
        <family val="2"/>
        <scheme val="minor"/>
      </rPr>
      <t>Entregáveis do Projeto:</t>
    </r>
    <r>
      <rPr>
        <sz val="10"/>
        <rFont val="Calibri"/>
        <family val="2"/>
        <scheme val="minor"/>
      </rPr>
      <t xml:space="preserve"> Relatório em formato .ppt contendo os resultados das simulações e a metodologia utilizada.</t>
    </r>
  </si>
  <si>
    <t>Título</t>
  </si>
  <si>
    <r>
      <rPr>
        <b/>
        <sz val="10"/>
        <rFont val="Calibri"/>
        <family val="2"/>
        <scheme val="minor"/>
      </rPr>
      <t xml:space="preserve">Objetivo: </t>
    </r>
  </si>
  <si>
    <r>
      <rPr>
        <b/>
        <sz val="10"/>
        <rFont val="Calibri"/>
        <family val="2"/>
        <scheme val="minor"/>
      </rPr>
      <t>Escopo:</t>
    </r>
    <r>
      <rPr>
        <sz val="10"/>
        <rFont val="Calibri"/>
        <family val="2"/>
        <scheme val="minor"/>
      </rPr>
      <t xml:space="preserve"> Escopo: A CAEXPERTS desenvolverá o estudo em 4 etapas, descritas a seguir: 
Na etapa 1: </t>
    </r>
  </si>
  <si>
    <t>Empresa</t>
  </si>
  <si>
    <t>Responsável</t>
  </si>
  <si>
    <t>Telefone</t>
  </si>
  <si>
    <t>e-mail</t>
  </si>
  <si>
    <t>CFD + DEM</t>
  </si>
  <si>
    <t>Vitor</t>
  </si>
  <si>
    <r>
      <rPr>
        <b/>
        <sz val="10"/>
        <rFont val="Calibri"/>
        <family val="2"/>
        <scheme val="minor"/>
      </rPr>
      <t>Quem Somos:</t>
    </r>
    <r>
      <rPr>
        <sz val="10"/>
        <rFont val="Calibri"/>
        <family val="2"/>
        <scheme val="minor"/>
      </rPr>
      <t xml:space="preserve"> A CAEXPERTS é uma empresa especializada em digitalização da engenharia que conta com uma rede de consultores pioneiros da implantação de tecnologias de simulação computacional na indústria nacional. Somos parceiros tecnológicos da SIEMENS Digital Industries Software, onde contamos com um portifólio de ferramentas de CAE mais completo do mercado.</t>
    </r>
  </si>
  <si>
    <t>Rateio</t>
  </si>
  <si>
    <t>Diego</t>
  </si>
  <si>
    <t>Gabriel</t>
  </si>
  <si>
    <t>Início de Projeto</t>
  </si>
  <si>
    <t>Reunião Final Online</t>
  </si>
  <si>
    <t>Vinicius</t>
  </si>
  <si>
    <t>Marcio Demétrio</t>
  </si>
  <si>
    <t xml:space="preserve">Marcio </t>
  </si>
  <si>
    <r>
      <rPr>
        <b/>
        <sz val="10"/>
        <rFont val="Calibri"/>
        <family val="2"/>
        <scheme val="minor"/>
      </rPr>
      <t xml:space="preserve">Cronograma de Atividades: </t>
    </r>
    <r>
      <rPr>
        <sz val="10"/>
        <rFont val="Calibri"/>
        <family val="2"/>
        <scheme val="minor"/>
      </rPr>
      <t>A execução do projeto está prevista para ser realizada em x dias, conforme cronograma de atividades em anexo. A primeira etapa se iniciará oficialmente a partir do dia subsequente ao recebimento dos documentos com os dados necessários ao projeto. Cada etapa está com a duração em dias prevista conforme indicado abaixo:
Etapa 1: 5 dias; Etapa 2: 5 dias; Etapa 3: 5 dias; Etapa 4: 5 dias.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</si>
</sst>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quot;\ * #,##0.00_-;\-&quot;R$&quot;\ * #,##0.00_-;_-&quot;R$&quot;\ * &quot;-&quot;??_-;_-@_-"/>
    <numFmt numFmtId="43" formatCode="_-* #,##0.00_-;\-* #,##0.00_-;_-* &quot;-&quot;??_-;_-@_-"/>
    <numFmt numFmtId="164" formatCode="_-* #,##0_-;\-* #,##0_-;_-* &quot;-&quot;??_-;_-@_-"/>
    <numFmt numFmtId="165" formatCode="0.0%"/>
  </numFmts>
  <fonts count="26" x14ac:knownFonts="1">
    <font>
      <sz val="10"/>
      <name val="Arial"/>
    </font>
    <font>
      <sz val="11"/>
      <color theme="1"/>
      <name val="Calibri"/>
      <family val="2"/>
      <scheme val="minor"/>
    </font>
    <font>
      <sz val="11"/>
      <color theme="1"/>
      <name val="Calibri"/>
      <family val="2"/>
      <scheme val="minor"/>
    </font>
    <font>
      <b/>
      <sz val="11"/>
      <color rgb="FF3F3F3F"/>
      <name val="Calibri"/>
      <family val="2"/>
      <scheme val="minor"/>
    </font>
    <font>
      <sz val="10"/>
      <name val="Arial"/>
      <family val="2"/>
    </font>
    <font>
      <sz val="10"/>
      <name val="Arial"/>
      <family val="2"/>
    </font>
    <font>
      <sz val="10"/>
      <name val="Calibri"/>
      <family val="2"/>
      <scheme val="minor"/>
    </font>
    <font>
      <sz val="9"/>
      <name val="Calibri"/>
      <family val="2"/>
      <scheme val="minor"/>
    </font>
    <font>
      <b/>
      <sz val="10"/>
      <name val="Calibri"/>
      <family val="2"/>
      <scheme val="minor"/>
    </font>
    <font>
      <b/>
      <i/>
      <sz val="10"/>
      <name val="Calibri"/>
      <family val="2"/>
      <scheme val="minor"/>
    </font>
    <font>
      <i/>
      <sz val="10"/>
      <name val="Calibri"/>
      <family val="2"/>
      <scheme val="minor"/>
    </font>
    <font>
      <u/>
      <sz val="10"/>
      <color theme="10"/>
      <name val="Arial"/>
      <family val="2"/>
    </font>
    <font>
      <sz val="10"/>
      <color theme="0" tint="-0.499984740745262"/>
      <name val="Calibri"/>
      <family val="2"/>
      <scheme val="minor"/>
    </font>
    <font>
      <sz val="10"/>
      <color theme="10"/>
      <name val="Calibri"/>
      <family val="2"/>
      <scheme val="minor"/>
    </font>
    <font>
      <b/>
      <u/>
      <sz val="10"/>
      <name val="Calibri"/>
      <family val="2"/>
      <scheme val="minor"/>
    </font>
    <font>
      <b/>
      <sz val="18"/>
      <name val="Calibri"/>
      <family val="2"/>
      <scheme val="minor"/>
    </font>
    <font>
      <i/>
      <sz val="11"/>
      <color theme="1"/>
      <name val="Calibri"/>
      <family val="2"/>
      <scheme val="minor"/>
    </font>
    <font>
      <b/>
      <sz val="10"/>
      <name val="Arial"/>
      <family val="2"/>
    </font>
    <font>
      <b/>
      <i/>
      <sz val="11"/>
      <color theme="1"/>
      <name val="Calibri"/>
      <family val="2"/>
      <scheme val="minor"/>
    </font>
    <font>
      <b/>
      <sz val="11"/>
      <color theme="0"/>
      <name val="Calibri"/>
      <family val="2"/>
      <scheme val="minor"/>
    </font>
    <font>
      <sz val="11"/>
      <color theme="0"/>
      <name val="Calibri"/>
      <family val="2"/>
      <scheme val="minor"/>
    </font>
    <font>
      <b/>
      <i/>
      <sz val="11"/>
      <color theme="0"/>
      <name val="Calibri"/>
      <family val="2"/>
      <scheme val="minor"/>
    </font>
    <font>
      <b/>
      <sz val="11"/>
      <name val="Calibri"/>
      <family val="2"/>
      <scheme val="minor"/>
    </font>
    <font>
      <sz val="10"/>
      <name val="Arial"/>
      <family val="2"/>
    </font>
    <font>
      <b/>
      <sz val="12"/>
      <color theme="0"/>
      <name val="Calibri"/>
      <family val="2"/>
      <scheme val="minor"/>
    </font>
    <font>
      <b/>
      <sz val="10"/>
      <color theme="0"/>
      <name val="Calibri"/>
      <family val="2"/>
      <scheme val="minor"/>
    </font>
  </fonts>
  <fills count="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2F2F2"/>
      </patternFill>
    </fill>
    <fill>
      <patternFill patternType="solid">
        <fgColor rgb="FF242834"/>
        <bgColor indexed="64"/>
      </patternFill>
    </fill>
    <fill>
      <patternFill patternType="solid">
        <fgColor rgb="FF01436C"/>
        <bgColor indexed="64"/>
      </patternFill>
    </fill>
    <fill>
      <patternFill patternType="solid">
        <fgColor rgb="FF02B1FB"/>
        <bgColor indexed="64"/>
      </patternFill>
    </fill>
  </fills>
  <borders count="33">
    <border>
      <left/>
      <right/>
      <top/>
      <bottom/>
      <diagonal/>
    </border>
    <border>
      <left style="thin">
        <color auto="1"/>
      </left>
      <right style="thin">
        <color auto="1"/>
      </right>
      <top/>
      <bottom/>
      <diagonal/>
    </border>
    <border>
      <left style="thin">
        <color auto="1"/>
      </left>
      <right/>
      <top/>
      <bottom/>
      <diagonal/>
    </border>
    <border>
      <left style="thin">
        <color rgb="FF3F3F3F"/>
      </left>
      <right style="thin">
        <color rgb="FF3F3F3F"/>
      </right>
      <top style="thin">
        <color rgb="FF3F3F3F"/>
      </top>
      <bottom style="thin">
        <color rgb="FF3F3F3F"/>
      </bottom>
      <diagonal/>
    </border>
    <border>
      <left style="thin">
        <color rgb="FF3F3F3F"/>
      </left>
      <right/>
      <top style="thin">
        <color rgb="FF3F3F3F"/>
      </top>
      <bottom style="thin">
        <color rgb="FF3F3F3F"/>
      </bottom>
      <diagonal/>
    </border>
    <border>
      <left/>
      <right style="thin">
        <color rgb="FF3F3F3F"/>
      </right>
      <top style="thin">
        <color rgb="FF3F3F3F"/>
      </top>
      <bottom style="thin">
        <color rgb="FF3F3F3F"/>
      </bottom>
      <diagonal/>
    </border>
    <border>
      <left/>
      <right/>
      <top style="thin">
        <color rgb="FF3F3F3F"/>
      </top>
      <bottom style="thin">
        <color rgb="FF3F3F3F"/>
      </bottom>
      <diagonal/>
    </border>
    <border>
      <left style="thin">
        <color indexed="64"/>
      </left>
      <right style="thin">
        <color indexed="64"/>
      </right>
      <top style="thin">
        <color indexed="64"/>
      </top>
      <bottom/>
      <diagonal/>
    </border>
    <border>
      <left/>
      <right style="thin">
        <color auto="1"/>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rgb="FF3F3F3F"/>
      </right>
      <top style="thin">
        <color indexed="64"/>
      </top>
      <bottom style="thin">
        <color indexed="64"/>
      </bottom>
      <diagonal/>
    </border>
    <border>
      <left style="thin">
        <color rgb="FF3F3F3F"/>
      </left>
      <right style="thin">
        <color rgb="FF3F3F3F"/>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rgb="FF3F3F3F"/>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ck">
        <color indexed="64"/>
      </top>
      <bottom/>
      <diagonal/>
    </border>
    <border>
      <left/>
      <right/>
      <top style="medium">
        <color indexed="64"/>
      </top>
      <bottom style="thick">
        <color indexed="64"/>
      </bottom>
      <diagonal/>
    </border>
    <border>
      <left/>
      <right style="medium">
        <color indexed="64"/>
      </right>
      <top style="medium">
        <color indexed="64"/>
      </top>
      <bottom style="thick">
        <color indexed="64"/>
      </bottom>
      <diagonal/>
    </border>
    <border>
      <left/>
      <right style="medium">
        <color indexed="64"/>
      </right>
      <top style="thick">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rgb="FF01436C"/>
      </left>
      <right style="medium">
        <color rgb="FF01436C"/>
      </right>
      <top style="medium">
        <color rgb="FF01436C"/>
      </top>
      <bottom style="medium">
        <color rgb="FF01436C"/>
      </bottom>
      <diagonal/>
    </border>
  </borders>
  <cellStyleXfs count="11">
    <xf numFmtId="0" fontId="0" fillId="0" borderId="0"/>
    <xf numFmtId="0" fontId="3" fillId="4" borderId="3" applyNumberFormat="0" applyAlignment="0" applyProtection="0"/>
    <xf numFmtId="44" fontId="4" fillId="0" borderId="0" applyFont="0" applyFill="0" applyBorder="0" applyAlignment="0" applyProtection="0"/>
    <xf numFmtId="43"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11" fillId="0" borderId="0" applyNumberFormat="0" applyFill="0" applyBorder="0" applyAlignment="0" applyProtection="0"/>
    <xf numFmtId="0" fontId="2" fillId="0" borderId="0"/>
    <xf numFmtId="44" fontId="2" fillId="0" borderId="0" applyFont="0" applyFill="0" applyBorder="0" applyAlignment="0" applyProtection="0"/>
    <xf numFmtId="9" fontId="2" fillId="0" borderId="0" applyFont="0" applyFill="0" applyBorder="0" applyAlignment="0" applyProtection="0"/>
    <xf numFmtId="9" fontId="23" fillId="0" borderId="0" applyFont="0" applyFill="0" applyBorder="0" applyAlignment="0" applyProtection="0"/>
  </cellStyleXfs>
  <cellXfs count="116">
    <xf numFmtId="0" fontId="0" fillId="0" borderId="0" xfId="0"/>
    <xf numFmtId="0" fontId="6" fillId="0" borderId="0" xfId="0" applyFont="1"/>
    <xf numFmtId="0" fontId="8" fillId="2" borderId="0" xfId="0" applyFont="1" applyFill="1" applyAlignment="1">
      <alignment horizontal="left"/>
    </xf>
    <xf numFmtId="0" fontId="8" fillId="2" borderId="0" xfId="0" applyFont="1" applyFill="1" applyAlignment="1">
      <alignment horizontal="center"/>
    </xf>
    <xf numFmtId="0" fontId="9" fillId="3" borderId="0" xfId="0" applyFont="1" applyFill="1" applyAlignment="1">
      <alignment horizontal="left" wrapText="1"/>
    </xf>
    <xf numFmtId="0" fontId="10" fillId="2" borderId="0" xfId="0" applyFont="1" applyFill="1" applyAlignment="1">
      <alignment horizontal="left" wrapText="1"/>
    </xf>
    <xf numFmtId="0" fontId="6" fillId="0" borderId="0" xfId="0" applyFont="1" applyAlignment="1">
      <alignment horizontal="center"/>
    </xf>
    <xf numFmtId="0" fontId="6" fillId="0" borderId="0" xfId="0" applyFont="1" applyAlignment="1">
      <alignment horizontal="left" vertical="center"/>
    </xf>
    <xf numFmtId="0" fontId="6" fillId="0" borderId="0" xfId="0" applyFont="1" applyAlignment="1">
      <alignment horizontal="center" vertical="center"/>
    </xf>
    <xf numFmtId="0" fontId="6" fillId="0" borderId="0" xfId="0" applyFont="1" applyAlignment="1">
      <alignment vertical="center"/>
    </xf>
    <xf numFmtId="0" fontId="8" fillId="3" borderId="0" xfId="0" applyFont="1" applyFill="1"/>
    <xf numFmtId="0" fontId="6" fillId="3" borderId="0" xfId="0" applyFont="1" applyFill="1"/>
    <xf numFmtId="0" fontId="6" fillId="3" borderId="0" xfId="0" applyFont="1" applyFill="1" applyAlignment="1">
      <alignment horizontal="center"/>
    </xf>
    <xf numFmtId="3" fontId="6" fillId="0" borderId="0" xfId="0" applyNumberFormat="1" applyFont="1" applyAlignment="1">
      <alignment horizontal="center"/>
    </xf>
    <xf numFmtId="164" fontId="6" fillId="0" borderId="0" xfId="3" applyNumberFormat="1" applyFont="1" applyAlignment="1">
      <alignment horizontal="center"/>
    </xf>
    <xf numFmtId="0" fontId="8" fillId="0" borderId="0" xfId="0" applyFont="1" applyAlignment="1">
      <alignment wrapText="1"/>
    </xf>
    <xf numFmtId="0" fontId="8" fillId="0" borderId="0" xfId="0" applyFont="1" applyAlignment="1">
      <alignment horizontal="center" wrapText="1"/>
    </xf>
    <xf numFmtId="0" fontId="7" fillId="0" borderId="0" xfId="0" applyFont="1"/>
    <xf numFmtId="44" fontId="6" fillId="0" borderId="0" xfId="2" applyFont="1" applyAlignment="1">
      <alignment vertical="center"/>
    </xf>
    <xf numFmtId="44" fontId="6" fillId="0" borderId="0" xfId="2" applyFont="1"/>
    <xf numFmtId="0" fontId="8" fillId="0" borderId="2" xfId="0" quotePrefix="1" applyFont="1" applyBorder="1" applyAlignment="1">
      <alignment vertical="center" wrapText="1"/>
    </xf>
    <xf numFmtId="49" fontId="6" fillId="0" borderId="8" xfId="0" quotePrefix="1" applyNumberFormat="1" applyFont="1" applyBorder="1" applyAlignment="1">
      <alignment horizontal="left" vertical="center" wrapText="1"/>
    </xf>
    <xf numFmtId="0" fontId="6" fillId="0" borderId="1" xfId="0" applyFont="1" applyBorder="1" applyAlignment="1">
      <alignment horizontal="center" vertical="center"/>
    </xf>
    <xf numFmtId="0" fontId="6" fillId="0" borderId="2" xfId="0" applyFont="1" applyBorder="1" applyAlignment="1">
      <alignment horizontal="center" vertical="center"/>
    </xf>
    <xf numFmtId="44" fontId="6" fillId="0" borderId="1" xfId="2" applyFont="1" applyFill="1" applyBorder="1" applyAlignment="1">
      <alignment horizontal="center" vertical="center"/>
    </xf>
    <xf numFmtId="44" fontId="6" fillId="0" borderId="8" xfId="2" applyFont="1" applyFill="1" applyBorder="1" applyAlignment="1">
      <alignment horizontal="center" vertical="center"/>
    </xf>
    <xf numFmtId="49" fontId="6" fillId="0" borderId="0" xfId="0" quotePrefix="1" applyNumberFormat="1" applyFont="1" applyAlignment="1">
      <alignment horizontal="left" vertical="center" wrapText="1"/>
    </xf>
    <xf numFmtId="0" fontId="6" fillId="0" borderId="0" xfId="0" applyFont="1" applyAlignment="1">
      <alignment horizontal="right" vertical="center"/>
    </xf>
    <xf numFmtId="44" fontId="6" fillId="0" borderId="0" xfId="2" applyFont="1" applyFill="1" applyBorder="1" applyAlignment="1">
      <alignment horizontal="center" vertical="center"/>
    </xf>
    <xf numFmtId="0" fontId="6" fillId="3" borderId="0" xfId="0" applyFont="1" applyFill="1" applyAlignment="1">
      <alignment horizontal="left"/>
    </xf>
    <xf numFmtId="0" fontId="12" fillId="0" borderId="0" xfId="0" applyFont="1" applyAlignment="1">
      <alignment horizontal="left"/>
    </xf>
    <xf numFmtId="0" fontId="12" fillId="3" borderId="0" xfId="0" applyFont="1" applyFill="1" applyAlignment="1">
      <alignment horizontal="left"/>
    </xf>
    <xf numFmtId="0" fontId="12" fillId="3" borderId="0" xfId="0" applyFont="1" applyFill="1" applyAlignment="1">
      <alignment horizontal="left" wrapText="1"/>
    </xf>
    <xf numFmtId="0" fontId="6" fillId="3" borderId="0" xfId="0" quotePrefix="1" applyFont="1" applyFill="1" applyAlignment="1">
      <alignment horizontal="left"/>
    </xf>
    <xf numFmtId="0" fontId="14" fillId="3" borderId="0" xfId="0" applyFont="1" applyFill="1"/>
    <xf numFmtId="0" fontId="6" fillId="0" borderId="2" xfId="0" quotePrefix="1" applyFont="1" applyBorder="1" applyAlignment="1">
      <alignment horizontal="left" vertical="center" wrapText="1"/>
    </xf>
    <xf numFmtId="0" fontId="6" fillId="0" borderId="2" xfId="0" quotePrefix="1" applyFont="1" applyBorder="1" applyAlignment="1">
      <alignment horizontal="left" vertical="center"/>
    </xf>
    <xf numFmtId="44" fontId="6" fillId="0" borderId="8" xfId="2" applyFont="1" applyFill="1" applyBorder="1" applyAlignment="1">
      <alignment horizontal="left" vertical="center"/>
    </xf>
    <xf numFmtId="44" fontId="6" fillId="0" borderId="0" xfId="2" applyFont="1" applyFill="1" applyBorder="1" applyAlignment="1">
      <alignment horizontal="left" vertical="center"/>
    </xf>
    <xf numFmtId="0" fontId="6" fillId="0" borderId="16" xfId="0" quotePrefix="1" applyFont="1" applyBorder="1" applyAlignment="1">
      <alignment horizontal="left" vertical="center" wrapText="1"/>
    </xf>
    <xf numFmtId="0" fontId="6" fillId="0" borderId="17" xfId="0" quotePrefix="1" applyFont="1" applyBorder="1" applyAlignment="1">
      <alignment horizontal="left" vertical="center" wrapText="1"/>
    </xf>
    <xf numFmtId="0" fontId="6" fillId="0" borderId="18" xfId="0" quotePrefix="1" applyFont="1" applyBorder="1" applyAlignment="1">
      <alignment horizontal="left" vertical="center" wrapText="1"/>
    </xf>
    <xf numFmtId="0" fontId="6" fillId="0" borderId="8" xfId="0" quotePrefix="1" applyFont="1" applyBorder="1" applyAlignment="1">
      <alignment horizontal="left" vertical="center" wrapText="1"/>
    </xf>
    <xf numFmtId="0" fontId="6" fillId="0" borderId="2" xfId="0" quotePrefix="1" applyFont="1" applyBorder="1" applyAlignment="1">
      <alignment horizontal="center" vertical="center"/>
    </xf>
    <xf numFmtId="0" fontId="6" fillId="0" borderId="8" xfId="0" quotePrefix="1" applyFont="1" applyBorder="1" applyAlignment="1">
      <alignment horizontal="center" vertical="center"/>
    </xf>
    <xf numFmtId="0" fontId="4" fillId="0" borderId="0" xfId="0" applyFont="1"/>
    <xf numFmtId="0" fontId="17" fillId="0" borderId="0" xfId="0" applyFont="1"/>
    <xf numFmtId="44" fontId="0" fillId="0" borderId="0" xfId="2" applyFont="1"/>
    <xf numFmtId="0" fontId="1" fillId="0" borderId="0" xfId="7" applyFont="1" applyAlignment="1">
      <alignment horizontal="left" indent="1"/>
    </xf>
    <xf numFmtId="0" fontId="0" fillId="0" borderId="0" xfId="0" applyAlignment="1">
      <alignment vertical="center"/>
    </xf>
    <xf numFmtId="0" fontId="17" fillId="0" borderId="0" xfId="0" applyFont="1" applyAlignment="1">
      <alignment vertical="center"/>
    </xf>
    <xf numFmtId="44" fontId="0" fillId="0" borderId="0" xfId="2" applyFont="1" applyAlignment="1">
      <alignment vertical="center"/>
    </xf>
    <xf numFmtId="44" fontId="0" fillId="0" borderId="0" xfId="0" applyNumberFormat="1"/>
    <xf numFmtId="0" fontId="2" fillId="3" borderId="19" xfId="7" applyFill="1" applyBorder="1"/>
    <xf numFmtId="0" fontId="2" fillId="3" borderId="22" xfId="7" applyFill="1" applyBorder="1"/>
    <xf numFmtId="0" fontId="16" fillId="3" borderId="23" xfId="7" applyFont="1" applyFill="1" applyBorder="1" applyAlignment="1">
      <alignment horizontal="left" vertical="center" indent="1"/>
    </xf>
    <xf numFmtId="0" fontId="2" fillId="3" borderId="24" xfId="7" applyFill="1" applyBorder="1"/>
    <xf numFmtId="0" fontId="19" fillId="5" borderId="26" xfId="7" applyFont="1" applyFill="1" applyBorder="1" applyAlignment="1">
      <alignment horizontal="center"/>
    </xf>
    <xf numFmtId="0" fontId="19" fillId="5" borderId="27" xfId="7" applyFont="1" applyFill="1" applyBorder="1" applyAlignment="1">
      <alignment horizontal="center" vertical="center"/>
    </xf>
    <xf numFmtId="0" fontId="19" fillId="5" borderId="20" xfId="7" applyFont="1" applyFill="1" applyBorder="1" applyAlignment="1">
      <alignment horizontal="center" vertical="center"/>
    </xf>
    <xf numFmtId="0" fontId="19" fillId="5" borderId="21" xfId="7" applyFont="1" applyFill="1" applyBorder="1" applyAlignment="1">
      <alignment horizontal="center" vertical="center"/>
    </xf>
    <xf numFmtId="0" fontId="2" fillId="6" borderId="30" xfId="7" applyFill="1" applyBorder="1"/>
    <xf numFmtId="0" fontId="2" fillId="6" borderId="31" xfId="7" applyFill="1" applyBorder="1"/>
    <xf numFmtId="0" fontId="16" fillId="3" borderId="26" xfId="7" applyFont="1" applyFill="1" applyBorder="1" applyAlignment="1">
      <alignment horizontal="left" vertical="center" indent="1"/>
    </xf>
    <xf numFmtId="0" fontId="16" fillId="3" borderId="25" xfId="7" applyFont="1" applyFill="1" applyBorder="1" applyAlignment="1">
      <alignment horizontal="left" vertical="center" indent="1"/>
    </xf>
    <xf numFmtId="0" fontId="2" fillId="3" borderId="27" xfId="7" applyFill="1" applyBorder="1"/>
    <xf numFmtId="0" fontId="21" fillId="7" borderId="28" xfId="7" applyFont="1" applyFill="1" applyBorder="1" applyAlignment="1">
      <alignment horizontal="left" vertical="center" indent="1"/>
    </xf>
    <xf numFmtId="0" fontId="18" fillId="7" borderId="29" xfId="7" applyFont="1" applyFill="1" applyBorder="1" applyAlignment="1">
      <alignment horizontal="left" vertical="center" indent="1"/>
    </xf>
    <xf numFmtId="0" fontId="20" fillId="7" borderId="29" xfId="7" applyFont="1" applyFill="1" applyBorder="1"/>
    <xf numFmtId="0" fontId="21" fillId="7" borderId="28" xfId="7" applyFont="1" applyFill="1" applyBorder="1" applyAlignment="1">
      <alignment horizontal="left" indent="1"/>
    </xf>
    <xf numFmtId="0" fontId="22" fillId="3" borderId="32" xfId="7" quotePrefix="1" applyFont="1" applyFill="1" applyBorder="1"/>
    <xf numFmtId="0" fontId="17" fillId="0" borderId="0" xfId="0" applyFont="1" applyAlignment="1">
      <alignment horizontal="center" vertical="center"/>
    </xf>
    <xf numFmtId="0" fontId="16" fillId="3" borderId="0" xfId="7" applyFont="1" applyFill="1" applyAlignment="1">
      <alignment horizontal="left" vertical="center" indent="1"/>
    </xf>
    <xf numFmtId="0" fontId="2" fillId="3" borderId="0" xfId="7" applyFill="1"/>
    <xf numFmtId="9" fontId="0" fillId="0" borderId="0" xfId="0" applyNumberFormat="1"/>
    <xf numFmtId="165" fontId="0" fillId="0" borderId="0" xfId="10" applyNumberFormat="1" applyFont="1"/>
    <xf numFmtId="0" fontId="25" fillId="5" borderId="12" xfId="1" applyFont="1" applyFill="1" applyBorder="1" applyAlignment="1">
      <alignment horizontal="center" vertical="center"/>
    </xf>
    <xf numFmtId="0" fontId="25" fillId="5" borderId="15" xfId="1" applyFont="1" applyFill="1" applyBorder="1" applyAlignment="1">
      <alignment horizontal="center" vertical="center"/>
    </xf>
    <xf numFmtId="0" fontId="25" fillId="5" borderId="13" xfId="1" applyFont="1" applyFill="1" applyBorder="1" applyAlignment="1">
      <alignment horizontal="center" vertical="center"/>
    </xf>
    <xf numFmtId="0" fontId="4" fillId="0" borderId="0" xfId="0" applyFont="1" applyAlignment="1">
      <alignment vertical="center"/>
    </xf>
    <xf numFmtId="44" fontId="4" fillId="0" borderId="0" xfId="2" applyFont="1" applyAlignment="1">
      <alignment vertical="center"/>
    </xf>
    <xf numFmtId="0" fontId="6" fillId="0" borderId="0" xfId="0" quotePrefix="1" applyFont="1" applyAlignment="1">
      <alignment horizontal="left" vertical="center" wrapText="1"/>
    </xf>
    <xf numFmtId="0" fontId="0" fillId="0" borderId="2" xfId="0" applyBorder="1"/>
    <xf numFmtId="0" fontId="6" fillId="0" borderId="0" xfId="0" quotePrefix="1" applyFont="1" applyAlignment="1">
      <alignment horizontal="center" vertical="center"/>
    </xf>
    <xf numFmtId="9" fontId="0" fillId="0" borderId="0" xfId="10" applyFont="1" applyAlignment="1">
      <alignment vertical="center"/>
    </xf>
    <xf numFmtId="0" fontId="6" fillId="0" borderId="2" xfId="0" quotePrefix="1" applyFont="1" applyBorder="1" applyAlignment="1">
      <alignment horizontal="left" vertical="center" wrapText="1"/>
    </xf>
    <xf numFmtId="0" fontId="6" fillId="0" borderId="0" xfId="0" quotePrefix="1" applyFont="1" applyAlignment="1">
      <alignment horizontal="left" vertical="center" wrapText="1"/>
    </xf>
    <xf numFmtId="0" fontId="6" fillId="0" borderId="8" xfId="0" quotePrefix="1" applyFont="1" applyBorder="1" applyAlignment="1">
      <alignment horizontal="left" vertical="center" wrapText="1"/>
    </xf>
    <xf numFmtId="0" fontId="15" fillId="0" borderId="0" xfId="0" applyFont="1" applyAlignment="1">
      <alignment horizontal="center"/>
    </xf>
    <xf numFmtId="44" fontId="24" fillId="5" borderId="17" xfId="1" applyNumberFormat="1" applyFont="1" applyFill="1" applyBorder="1" applyAlignment="1">
      <alignment horizontal="center" vertical="center"/>
    </xf>
    <xf numFmtId="44" fontId="24" fillId="5" borderId="18" xfId="1" applyNumberFormat="1" applyFont="1" applyFill="1" applyBorder="1" applyAlignment="1">
      <alignment horizontal="center" vertical="center"/>
    </xf>
    <xf numFmtId="0" fontId="24" fillId="5" borderId="16" xfId="1" applyFont="1" applyFill="1" applyBorder="1" applyAlignment="1">
      <alignment horizontal="right" vertical="center"/>
    </xf>
    <xf numFmtId="0" fontId="24" fillId="5" borderId="17" xfId="1" applyFont="1" applyFill="1" applyBorder="1" applyAlignment="1">
      <alignment horizontal="right" vertical="center"/>
    </xf>
    <xf numFmtId="0" fontId="25" fillId="5" borderId="4" xfId="1" applyFont="1" applyFill="1" applyBorder="1" applyAlignment="1">
      <alignment horizontal="center"/>
    </xf>
    <xf numFmtId="0" fontId="25" fillId="5" borderId="6" xfId="1" applyFont="1" applyFill="1" applyBorder="1" applyAlignment="1">
      <alignment horizontal="center"/>
    </xf>
    <xf numFmtId="0" fontId="25" fillId="5" borderId="5" xfId="1" applyFont="1" applyFill="1" applyBorder="1" applyAlignment="1">
      <alignment horizontal="center"/>
    </xf>
    <xf numFmtId="0" fontId="10" fillId="3" borderId="0" xfId="0" applyFont="1" applyFill="1" applyAlignment="1">
      <alignment horizontal="left" indent="1"/>
    </xf>
    <xf numFmtId="0" fontId="13" fillId="3" borderId="0" xfId="6" applyFont="1" applyFill="1" applyAlignment="1">
      <alignment horizontal="left"/>
    </xf>
    <xf numFmtId="14" fontId="6" fillId="0" borderId="0" xfId="0" applyNumberFormat="1" applyFont="1" applyAlignment="1">
      <alignment horizontal="left"/>
    </xf>
    <xf numFmtId="0" fontId="6" fillId="0" borderId="0" xfId="0" applyFont="1" applyAlignment="1">
      <alignment horizontal="left"/>
    </xf>
    <xf numFmtId="0" fontId="8" fillId="0" borderId="0" xfId="0" applyFont="1" applyAlignment="1">
      <alignment horizontal="left"/>
    </xf>
    <xf numFmtId="0" fontId="6" fillId="0" borderId="0" xfId="0" applyFont="1" applyAlignment="1">
      <alignment horizontal="left" vertical="center" wrapText="1"/>
    </xf>
    <xf numFmtId="0" fontId="6" fillId="0" borderId="0" xfId="0" quotePrefix="1" applyFont="1" applyAlignment="1">
      <alignment horizontal="left"/>
    </xf>
    <xf numFmtId="0" fontId="9" fillId="3" borderId="0" xfId="0" applyFont="1" applyFill="1" applyAlignment="1">
      <alignment horizontal="left"/>
    </xf>
    <xf numFmtId="0" fontId="25" fillId="5" borderId="10" xfId="1" applyFont="1" applyFill="1" applyBorder="1" applyAlignment="1">
      <alignment vertical="center"/>
    </xf>
    <xf numFmtId="0" fontId="19" fillId="5" borderId="11" xfId="1" applyFont="1" applyFill="1" applyBorder="1" applyAlignment="1">
      <alignment vertical="center"/>
    </xf>
    <xf numFmtId="0" fontId="9" fillId="0" borderId="9" xfId="0" quotePrefix="1" applyFont="1" applyBorder="1" applyAlignment="1">
      <alignment horizontal="left" vertical="center" wrapText="1"/>
    </xf>
    <xf numFmtId="0" fontId="9" fillId="0" borderId="14" xfId="0" quotePrefix="1" applyFont="1" applyBorder="1" applyAlignment="1">
      <alignment horizontal="left" vertical="center" wrapText="1"/>
    </xf>
    <xf numFmtId="0" fontId="9" fillId="0" borderId="2" xfId="0" quotePrefix="1" applyFont="1" applyBorder="1" applyAlignment="1">
      <alignment horizontal="left" vertical="center" wrapText="1"/>
    </xf>
    <xf numFmtId="0" fontId="9" fillId="0" borderId="8" xfId="0" quotePrefix="1" applyFont="1" applyBorder="1" applyAlignment="1">
      <alignment horizontal="left" vertical="center" wrapText="1"/>
    </xf>
    <xf numFmtId="0" fontId="6" fillId="0" borderId="7" xfId="0" applyFont="1" applyBorder="1" applyAlignment="1">
      <alignment horizontal="center" vertical="center"/>
    </xf>
    <xf numFmtId="0" fontId="6" fillId="0" borderId="1" xfId="0" applyFont="1" applyBorder="1" applyAlignment="1">
      <alignment horizontal="center" vertical="center"/>
    </xf>
    <xf numFmtId="44" fontId="6" fillId="0" borderId="7" xfId="2" applyFont="1" applyFill="1" applyBorder="1" applyAlignment="1">
      <alignment horizontal="center" vertical="center"/>
    </xf>
    <xf numFmtId="44" fontId="6" fillId="0" borderId="1" xfId="2" applyFont="1" applyFill="1" applyBorder="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xf>
  </cellXfs>
  <cellStyles count="11">
    <cellStyle name="Hiperlink" xfId="6" builtinId="8"/>
    <cellStyle name="Moeda" xfId="2" builtinId="4"/>
    <cellStyle name="Moeda 2" xfId="8" xr:uid="{5CC9FB17-708C-4AB6-9E13-E59AF0A65923}"/>
    <cellStyle name="Normal" xfId="0" builtinId="0"/>
    <cellStyle name="Normal 2" xfId="7" xr:uid="{8E7F358E-B35C-4F77-BFE6-8FB2E065F45E}"/>
    <cellStyle name="Porcentagem" xfId="10" builtinId="5"/>
    <cellStyle name="Porcentagem 2" xfId="4" xr:uid="{00000000-0005-0000-0000-000003000000}"/>
    <cellStyle name="Porcentagem 3" xfId="9" xr:uid="{50D3529C-0A8C-431D-9CD6-7151F8519595}"/>
    <cellStyle name="Saída" xfId="1" builtinId="21"/>
    <cellStyle name="Vírgula" xfId="3" builtinId="3"/>
    <cellStyle name="Vírgula 2" xfId="5" xr:uid="{00000000-0005-0000-0000-000006000000}"/>
  </cellStyles>
  <dxfs count="0"/>
  <tableStyles count="0" defaultTableStyle="TableStyleMedium9" defaultPivotStyle="PivotStyleLight16"/>
  <colors>
    <mruColors>
      <color rgb="FF242834"/>
      <color rgb="FF005776"/>
      <color rgb="FF01436C"/>
      <color rgb="FF02B1FB"/>
      <color rgb="FF0097CC"/>
      <color rgb="FF010915"/>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21</xdr:row>
      <xdr:rowOff>0</xdr:rowOff>
    </xdr:from>
    <xdr:to>
      <xdr:col>9</xdr:col>
      <xdr:colOff>0</xdr:colOff>
      <xdr:row>59</xdr:row>
      <xdr:rowOff>142875</xdr:rowOff>
    </xdr:to>
    <xdr:pic>
      <xdr:nvPicPr>
        <xdr:cNvPr id="7" name="Imagem 6">
          <a:extLst>
            <a:ext uri="{FF2B5EF4-FFF2-40B4-BE49-F238E27FC236}">
              <a16:creationId xmlns:a16="http://schemas.microsoft.com/office/drawing/2014/main" id="{206B515F-98EB-33F1-6A2D-34860C1957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67800" y="3762375"/>
          <a:ext cx="0" cy="6372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xdr:row>
      <xdr:rowOff>0</xdr:rowOff>
    </xdr:from>
    <xdr:to>
      <xdr:col>9</xdr:col>
      <xdr:colOff>0</xdr:colOff>
      <xdr:row>59</xdr:row>
      <xdr:rowOff>142875</xdr:rowOff>
    </xdr:to>
    <xdr:pic>
      <xdr:nvPicPr>
        <xdr:cNvPr id="9" name="Imagem 8">
          <a:extLst>
            <a:ext uri="{FF2B5EF4-FFF2-40B4-BE49-F238E27FC236}">
              <a16:creationId xmlns:a16="http://schemas.microsoft.com/office/drawing/2014/main" id="{22D40CE8-48DE-C468-EF14-6F0BBDE88D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67800" y="3762375"/>
          <a:ext cx="0" cy="6372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xdr:row>
      <xdr:rowOff>0</xdr:rowOff>
    </xdr:from>
    <xdr:to>
      <xdr:col>1</xdr:col>
      <xdr:colOff>304800</xdr:colOff>
      <xdr:row>3</xdr:row>
      <xdr:rowOff>142875</xdr:rowOff>
    </xdr:to>
    <xdr:sp macro="" textlink="">
      <xdr:nvSpPr>
        <xdr:cNvPr id="1025" name="a3cb7d12-3126-4fd6-b79d-4217a87dbbfc" descr="CAEXPERTS BORDA P (3) 1.png">
          <a:extLst>
            <a:ext uri="{FF2B5EF4-FFF2-40B4-BE49-F238E27FC236}">
              <a16:creationId xmlns:a16="http://schemas.microsoft.com/office/drawing/2014/main" id="{91EAE2AC-8991-8E64-DFF4-B02EB97A5507}"/>
            </a:ext>
          </a:extLst>
        </xdr:cNvPr>
        <xdr:cNvSpPr>
          <a:spLocks noChangeAspect="1" noChangeArrowheads="1"/>
        </xdr:cNvSpPr>
      </xdr:nvSpPr>
      <xdr:spPr bwMode="auto">
        <a:xfrm>
          <a:off x="190500" y="53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133349</xdr:colOff>
      <xdr:row>0</xdr:row>
      <xdr:rowOff>182404</xdr:rowOff>
    </xdr:from>
    <xdr:to>
      <xdr:col>1</xdr:col>
      <xdr:colOff>3732480</xdr:colOff>
      <xdr:row>5</xdr:row>
      <xdr:rowOff>47625</xdr:rowOff>
    </xdr:to>
    <xdr:grpSp>
      <xdr:nvGrpSpPr>
        <xdr:cNvPr id="6" name="Agrupar 5">
          <a:extLst>
            <a:ext uri="{FF2B5EF4-FFF2-40B4-BE49-F238E27FC236}">
              <a16:creationId xmlns:a16="http://schemas.microsoft.com/office/drawing/2014/main" id="{23888CAB-21C3-E875-A463-368C26E98DCC}"/>
            </a:ext>
          </a:extLst>
        </xdr:cNvPr>
        <xdr:cNvGrpSpPr/>
      </xdr:nvGrpSpPr>
      <xdr:grpSpPr>
        <a:xfrm>
          <a:off x="323849" y="182404"/>
          <a:ext cx="3599131" cy="884396"/>
          <a:chOff x="323849" y="182404"/>
          <a:chExt cx="3599131" cy="884396"/>
        </a:xfrm>
      </xdr:grpSpPr>
      <xdr:pic>
        <xdr:nvPicPr>
          <xdr:cNvPr id="12" name="Imagem 11" descr="Siemens">
            <a:extLst>
              <a:ext uri="{FF2B5EF4-FFF2-40B4-BE49-F238E27FC236}">
                <a16:creationId xmlns:a16="http://schemas.microsoft.com/office/drawing/2014/main" id="{27AEFE68-3855-A00F-0BBB-C2D23E0F1F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71700" y="182404"/>
            <a:ext cx="1751280" cy="88439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Imagem 3">
            <a:extLst>
              <a:ext uri="{FF2B5EF4-FFF2-40B4-BE49-F238E27FC236}">
                <a16:creationId xmlns:a16="http://schemas.microsoft.com/office/drawing/2014/main" id="{749BA099-BCE6-8AEB-ADF7-4C490E3029B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23849" y="285750"/>
            <a:ext cx="1741171" cy="73342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3"/>
  <sheetViews>
    <sheetView showGridLines="0" view="pageBreakPreview" topLeftCell="A19" zoomScaleNormal="115" zoomScaleSheetLayoutView="100" zoomScalePageLayoutView="130" workbookViewId="0">
      <selection activeCell="B54" sqref="B54:G56"/>
    </sheetView>
  </sheetViews>
  <sheetFormatPr defaultColWidth="0" defaultRowHeight="12.75" x14ac:dyDescent="0.2"/>
  <cols>
    <col min="1" max="1" width="2.85546875" style="1" customWidth="1"/>
    <col min="2" max="2" width="65.7109375" style="1" customWidth="1"/>
    <col min="3" max="3" width="18.85546875" style="1" customWidth="1"/>
    <col min="4" max="4" width="10.85546875" style="6" customWidth="1"/>
    <col min="5" max="5" width="8.42578125" style="1" customWidth="1"/>
    <col min="6" max="7" width="12.5703125" style="1" customWidth="1"/>
    <col min="8" max="8" width="12.42578125" style="1" hidden="1" customWidth="1"/>
    <col min="9" max="9" width="4.140625" style="1" customWidth="1"/>
    <col min="10" max="10" width="11.28515625" style="1" hidden="1" customWidth="1"/>
    <col min="11" max="11" width="37" style="1" hidden="1" customWidth="1"/>
    <col min="12" max="12" width="10.42578125" style="1" hidden="1" customWidth="1"/>
    <col min="13" max="13" width="7.42578125" style="1" hidden="1" customWidth="1"/>
    <col min="14" max="14" width="11.42578125" style="19" hidden="1" customWidth="1"/>
    <col min="15" max="16384" width="8.85546875" style="1" hidden="1"/>
  </cols>
  <sheetData>
    <row r="1" spans="1:14" ht="21" customHeight="1" x14ac:dyDescent="0.2">
      <c r="B1" s="29"/>
      <c r="C1" s="2"/>
      <c r="D1" s="3"/>
      <c r="E1" s="2"/>
      <c r="F1" s="2"/>
      <c r="G1" s="2"/>
      <c r="H1" s="2"/>
    </row>
    <row r="2" spans="1:14" ht="21" customHeight="1" x14ac:dyDescent="0.2">
      <c r="B2" s="4"/>
      <c r="C2" s="5"/>
      <c r="D2" s="30" t="s">
        <v>7</v>
      </c>
      <c r="E2" s="98">
        <v>45586</v>
      </c>
      <c r="F2" s="98"/>
      <c r="G2" s="98"/>
    </row>
    <row r="3" spans="1:14" ht="12.95" customHeight="1" x14ac:dyDescent="0.2">
      <c r="B3"/>
      <c r="C3" s="7"/>
      <c r="D3" s="8"/>
    </row>
    <row r="4" spans="1:14" ht="12.95" customHeight="1" x14ac:dyDescent="0.2">
      <c r="B4"/>
      <c r="C4" s="4"/>
      <c r="D4" s="30" t="s">
        <v>8</v>
      </c>
      <c r="E4" s="99" t="s">
        <v>2</v>
      </c>
      <c r="F4" s="99"/>
      <c r="G4" s="99"/>
      <c r="K4" s="9"/>
      <c r="L4" s="9"/>
      <c r="M4" s="9"/>
      <c r="N4" s="18"/>
    </row>
    <row r="5" spans="1:14" s="9" customFormat="1" ht="12.95" customHeight="1" x14ac:dyDescent="0.2">
      <c r="A5" s="1"/>
      <c r="C5" s="4"/>
      <c r="D5" s="31"/>
      <c r="E5" s="33" t="s">
        <v>11</v>
      </c>
      <c r="F5" s="33"/>
      <c r="G5" s="33"/>
      <c r="N5" s="18"/>
    </row>
    <row r="6" spans="1:14" s="9" customFormat="1" ht="12.95" customHeight="1" x14ac:dyDescent="0.2">
      <c r="A6" s="1"/>
      <c r="C6" s="4"/>
      <c r="D6" s="4"/>
      <c r="E6" s="97" t="s">
        <v>6</v>
      </c>
      <c r="F6" s="97"/>
      <c r="G6" s="97"/>
      <c r="N6" s="18"/>
    </row>
    <row r="7" spans="1:14" s="9" customFormat="1" ht="12.95" customHeight="1" x14ac:dyDescent="0.2">
      <c r="A7" s="1"/>
      <c r="C7" s="4"/>
      <c r="E7" s="97"/>
      <c r="F7" s="97"/>
      <c r="G7" s="97"/>
      <c r="N7" s="18"/>
    </row>
    <row r="8" spans="1:14" s="9" customFormat="1" ht="12.95" customHeight="1" x14ac:dyDescent="0.2">
      <c r="A8" s="1"/>
      <c r="B8" s="29" t="s">
        <v>12</v>
      </c>
      <c r="C8" s="4"/>
      <c r="D8" s="32" t="s">
        <v>9</v>
      </c>
      <c r="E8" s="100" t="s">
        <v>72</v>
      </c>
      <c r="F8" s="100"/>
      <c r="G8" s="100"/>
      <c r="N8" s="18"/>
    </row>
    <row r="9" spans="1:14" s="9" customFormat="1" ht="12.95" customHeight="1" x14ac:dyDescent="0.2">
      <c r="A9" s="1"/>
      <c r="B9" s="29" t="s">
        <v>1</v>
      </c>
      <c r="C9" s="4"/>
      <c r="D9" s="4"/>
      <c r="E9" s="101" t="s">
        <v>73</v>
      </c>
      <c r="F9" s="101"/>
      <c r="G9" s="101"/>
      <c r="N9" s="18"/>
    </row>
    <row r="10" spans="1:14" s="9" customFormat="1" ht="12.95" customHeight="1" x14ac:dyDescent="0.2">
      <c r="A10" s="1"/>
      <c r="B10" s="29" t="s">
        <v>3</v>
      </c>
      <c r="C10" s="4"/>
      <c r="D10" s="4"/>
      <c r="E10" s="102" t="s">
        <v>74</v>
      </c>
      <c r="F10" s="102"/>
      <c r="G10" s="102"/>
      <c r="N10" s="18"/>
    </row>
    <row r="11" spans="1:14" s="9" customFormat="1" ht="12.95" customHeight="1" x14ac:dyDescent="0.2">
      <c r="A11" s="1"/>
      <c r="B11" s="29" t="s">
        <v>4</v>
      </c>
      <c r="C11" s="4"/>
      <c r="D11" s="4"/>
      <c r="E11" s="97" t="s">
        <v>75</v>
      </c>
      <c r="F11" s="97"/>
      <c r="G11" s="97"/>
      <c r="N11" s="18"/>
    </row>
    <row r="12" spans="1:14" s="9" customFormat="1" ht="12.95" customHeight="1" x14ac:dyDescent="0.2">
      <c r="A12" s="1"/>
      <c r="B12" s="29" t="s">
        <v>5</v>
      </c>
      <c r="C12" s="4"/>
      <c r="D12" s="4"/>
      <c r="N12" s="18"/>
    </row>
    <row r="13" spans="1:14" s="9" customFormat="1" ht="12.95" customHeight="1" x14ac:dyDescent="0.2">
      <c r="A13" s="1"/>
      <c r="C13" s="4"/>
      <c r="D13" s="32" t="s">
        <v>10</v>
      </c>
      <c r="E13" s="98">
        <f>E2+30</f>
        <v>45616</v>
      </c>
      <c r="F13" s="98"/>
      <c r="G13" s="98"/>
      <c r="N13" s="18"/>
    </row>
    <row r="14" spans="1:14" ht="12.95" customHeight="1" x14ac:dyDescent="0.2">
      <c r="B14" s="10"/>
      <c r="C14" s="11"/>
    </row>
    <row r="15" spans="1:14" ht="21" customHeight="1" x14ac:dyDescent="0.2">
      <c r="B15" s="10"/>
      <c r="C15" s="10"/>
      <c r="D15" s="12"/>
      <c r="E15" s="10"/>
      <c r="F15" s="103"/>
      <c r="G15" s="103"/>
    </row>
    <row r="16" spans="1:14" ht="15" x14ac:dyDescent="0.2">
      <c r="B16" s="104" t="s">
        <v>0</v>
      </c>
      <c r="C16" s="105"/>
      <c r="D16" s="76" t="s">
        <v>13</v>
      </c>
      <c r="E16" s="77" t="s">
        <v>14</v>
      </c>
      <c r="F16" s="78" t="s">
        <v>15</v>
      </c>
      <c r="G16" s="78" t="s">
        <v>16</v>
      </c>
      <c r="I16" s="13"/>
    </row>
    <row r="17" spans="2:9" ht="12.75" customHeight="1" x14ac:dyDescent="0.2">
      <c r="B17" s="106" t="s">
        <v>69</v>
      </c>
      <c r="C17" s="107"/>
      <c r="D17" s="110" t="s">
        <v>17</v>
      </c>
      <c r="E17" s="110">
        <v>1</v>
      </c>
      <c r="F17" s="112" t="e">
        <f>ROUND(Cronograma!O5,0)*1.1</f>
        <v>#N/A</v>
      </c>
      <c r="G17" s="112" t="e">
        <f>F17</f>
        <v>#N/A</v>
      </c>
      <c r="I17" s="14"/>
    </row>
    <row r="18" spans="2:9" x14ac:dyDescent="0.2">
      <c r="B18" s="108"/>
      <c r="C18" s="109"/>
      <c r="D18" s="111"/>
      <c r="E18" s="111"/>
      <c r="F18" s="113"/>
      <c r="G18" s="113"/>
      <c r="I18" s="14"/>
    </row>
    <row r="19" spans="2:9" x14ac:dyDescent="0.2">
      <c r="B19" s="20"/>
      <c r="C19" s="21"/>
      <c r="D19" s="22"/>
      <c r="E19" s="23"/>
      <c r="F19" s="24"/>
      <c r="G19" s="25"/>
      <c r="I19" s="14"/>
    </row>
    <row r="20" spans="2:9" ht="13.9" customHeight="1" x14ac:dyDescent="0.2">
      <c r="B20" s="85" t="s">
        <v>70</v>
      </c>
      <c r="C20" s="86"/>
      <c r="D20" s="86"/>
      <c r="E20" s="86"/>
      <c r="F20" s="86"/>
      <c r="G20" s="87"/>
      <c r="I20" s="14"/>
    </row>
    <row r="21" spans="2:9" ht="13.9" customHeight="1" x14ac:dyDescent="0.2">
      <c r="B21" s="85"/>
      <c r="C21" s="86"/>
      <c r="D21" s="86"/>
      <c r="E21" s="86"/>
      <c r="F21" s="86"/>
      <c r="G21" s="87"/>
      <c r="I21" s="14"/>
    </row>
    <row r="22" spans="2:9" x14ac:dyDescent="0.2">
      <c r="B22" s="82"/>
      <c r="C22" s="26"/>
      <c r="D22" s="7"/>
      <c r="E22" s="7"/>
      <c r="F22" s="38"/>
      <c r="G22" s="37"/>
      <c r="I22" s="14"/>
    </row>
    <row r="23" spans="2:9" ht="12.75" customHeight="1" x14ac:dyDescent="0.2">
      <c r="B23" s="85" t="s">
        <v>66</v>
      </c>
      <c r="C23" s="86"/>
      <c r="D23" s="86"/>
      <c r="E23" s="86"/>
      <c r="F23" s="86"/>
      <c r="G23" s="87"/>
      <c r="I23" s="14"/>
    </row>
    <row r="24" spans="2:9" ht="12.75" customHeight="1" x14ac:dyDescent="0.2">
      <c r="B24" s="85"/>
      <c r="C24" s="86"/>
      <c r="D24" s="86"/>
      <c r="E24" s="86"/>
      <c r="F24" s="86"/>
      <c r="G24" s="87"/>
      <c r="I24" s="14"/>
    </row>
    <row r="25" spans="2:9" x14ac:dyDescent="0.2">
      <c r="B25" s="36"/>
      <c r="C25" s="26"/>
      <c r="D25" s="7"/>
      <c r="E25" s="7"/>
      <c r="F25" s="38"/>
      <c r="G25" s="37"/>
      <c r="I25" s="14"/>
    </row>
    <row r="26" spans="2:9" x14ac:dyDescent="0.2">
      <c r="B26" s="85" t="s">
        <v>71</v>
      </c>
      <c r="C26" s="86"/>
      <c r="D26" s="86"/>
      <c r="E26" s="86"/>
      <c r="F26" s="86"/>
      <c r="G26" s="87"/>
      <c r="I26" s="14"/>
    </row>
    <row r="27" spans="2:9" x14ac:dyDescent="0.2">
      <c r="B27" s="85"/>
      <c r="C27" s="86"/>
      <c r="D27" s="86"/>
      <c r="E27" s="86"/>
      <c r="F27" s="86"/>
      <c r="G27" s="87"/>
      <c r="I27" s="14"/>
    </row>
    <row r="28" spans="2:9" x14ac:dyDescent="0.2">
      <c r="B28" s="85"/>
      <c r="C28" s="86"/>
      <c r="D28" s="86"/>
      <c r="E28" s="86"/>
      <c r="F28" s="86"/>
      <c r="G28" s="87"/>
      <c r="I28" s="14"/>
    </row>
    <row r="29" spans="2:9" x14ac:dyDescent="0.2">
      <c r="B29" s="85"/>
      <c r="C29" s="86"/>
      <c r="D29" s="86"/>
      <c r="E29" s="86"/>
      <c r="F29" s="86"/>
      <c r="G29" s="87"/>
      <c r="I29" s="14"/>
    </row>
    <row r="30" spans="2:9" x14ac:dyDescent="0.2">
      <c r="B30" s="85"/>
      <c r="C30" s="86"/>
      <c r="D30" s="86"/>
      <c r="E30" s="86"/>
      <c r="F30" s="86"/>
      <c r="G30" s="87"/>
      <c r="I30" s="14"/>
    </row>
    <row r="31" spans="2:9" x14ac:dyDescent="0.2">
      <c r="B31" s="85"/>
      <c r="C31" s="86"/>
      <c r="D31" s="86"/>
      <c r="E31" s="86"/>
      <c r="F31" s="86"/>
      <c r="G31" s="87"/>
      <c r="I31" s="14"/>
    </row>
    <row r="32" spans="2:9" x14ac:dyDescent="0.2">
      <c r="B32" s="85"/>
      <c r="C32" s="86"/>
      <c r="D32" s="86"/>
      <c r="E32" s="86"/>
      <c r="F32" s="86"/>
      <c r="G32" s="87"/>
      <c r="I32" s="14"/>
    </row>
    <row r="33" spans="2:9" x14ac:dyDescent="0.2">
      <c r="B33" s="85"/>
      <c r="C33" s="86"/>
      <c r="D33" s="86"/>
      <c r="E33" s="86"/>
      <c r="F33" s="86"/>
      <c r="G33" s="87"/>
      <c r="I33" s="14"/>
    </row>
    <row r="34" spans="2:9" x14ac:dyDescent="0.2">
      <c r="B34" s="85"/>
      <c r="C34" s="86"/>
      <c r="D34" s="86"/>
      <c r="E34" s="86"/>
      <c r="F34" s="86"/>
      <c r="G34" s="87"/>
      <c r="I34" s="14"/>
    </row>
    <row r="35" spans="2:9" x14ac:dyDescent="0.2">
      <c r="B35" s="85"/>
      <c r="C35" s="86"/>
      <c r="D35" s="86"/>
      <c r="E35" s="86"/>
      <c r="F35" s="86"/>
      <c r="G35" s="87"/>
      <c r="I35" s="14"/>
    </row>
    <row r="36" spans="2:9" x14ac:dyDescent="0.2">
      <c r="B36" s="85"/>
      <c r="C36" s="86"/>
      <c r="D36" s="86"/>
      <c r="E36" s="86"/>
      <c r="F36" s="86"/>
      <c r="G36" s="87"/>
      <c r="I36" s="14"/>
    </row>
    <row r="37" spans="2:9" x14ac:dyDescent="0.2">
      <c r="B37" s="85"/>
      <c r="C37" s="86"/>
      <c r="D37" s="86"/>
      <c r="E37" s="86"/>
      <c r="F37" s="86"/>
      <c r="G37" s="87"/>
      <c r="I37" s="14"/>
    </row>
    <row r="38" spans="2:9" x14ac:dyDescent="0.2">
      <c r="B38" s="85"/>
      <c r="C38" s="86"/>
      <c r="D38" s="86"/>
      <c r="E38" s="86"/>
      <c r="F38" s="86"/>
      <c r="G38" s="87"/>
      <c r="I38" s="14"/>
    </row>
    <row r="39" spans="2:9" x14ac:dyDescent="0.2">
      <c r="B39" s="85"/>
      <c r="C39" s="86"/>
      <c r="D39" s="86"/>
      <c r="E39" s="86"/>
      <c r="F39" s="86"/>
      <c r="G39" s="87"/>
      <c r="I39" s="14"/>
    </row>
    <row r="40" spans="2:9" x14ac:dyDescent="0.2">
      <c r="B40" s="85"/>
      <c r="C40" s="86"/>
      <c r="D40" s="86"/>
      <c r="E40" s="86"/>
      <c r="F40" s="86"/>
      <c r="G40" s="87"/>
      <c r="I40" s="14"/>
    </row>
    <row r="41" spans="2:9" x14ac:dyDescent="0.2">
      <c r="B41" s="85"/>
      <c r="C41" s="86"/>
      <c r="D41" s="86"/>
      <c r="E41" s="86"/>
      <c r="F41" s="86"/>
      <c r="G41" s="87"/>
      <c r="I41" s="14"/>
    </row>
    <row r="42" spans="2:9" x14ac:dyDescent="0.2">
      <c r="B42" s="43"/>
      <c r="C42" s="83"/>
      <c r="D42" s="83"/>
      <c r="E42" s="83"/>
      <c r="F42" s="83"/>
      <c r="G42" s="44"/>
      <c r="I42" s="14"/>
    </row>
    <row r="43" spans="2:9" ht="12.75" customHeight="1" x14ac:dyDescent="0.2">
      <c r="B43" s="85" t="s">
        <v>87</v>
      </c>
      <c r="C43" s="86"/>
      <c r="D43" s="86"/>
      <c r="E43" s="86"/>
      <c r="F43" s="86"/>
      <c r="G43" s="87"/>
      <c r="I43" s="14"/>
    </row>
    <row r="44" spans="2:9" ht="12.75" customHeight="1" x14ac:dyDescent="0.2">
      <c r="B44" s="85"/>
      <c r="C44" s="86"/>
      <c r="D44" s="86"/>
      <c r="E44" s="86"/>
      <c r="F44" s="86"/>
      <c r="G44" s="87"/>
      <c r="I44" s="14"/>
    </row>
    <row r="45" spans="2:9" ht="12.75" customHeight="1" x14ac:dyDescent="0.2">
      <c r="B45" s="85"/>
      <c r="C45" s="86"/>
      <c r="D45" s="86"/>
      <c r="E45" s="86"/>
      <c r="F45" s="86"/>
      <c r="G45" s="87"/>
      <c r="I45" s="14"/>
    </row>
    <row r="46" spans="2:9" ht="12.75" customHeight="1" x14ac:dyDescent="0.2">
      <c r="B46" s="85"/>
      <c r="C46" s="86"/>
      <c r="D46" s="86"/>
      <c r="E46" s="86"/>
      <c r="F46" s="86"/>
      <c r="G46" s="87"/>
      <c r="I46" s="14"/>
    </row>
    <row r="47" spans="2:9" x14ac:dyDescent="0.2">
      <c r="B47" s="85"/>
      <c r="C47" s="86"/>
      <c r="D47" s="86"/>
      <c r="E47" s="86"/>
      <c r="F47" s="86"/>
      <c r="G47" s="87"/>
      <c r="I47" s="14"/>
    </row>
    <row r="48" spans="2:9" x14ac:dyDescent="0.2">
      <c r="B48" s="35"/>
      <c r="C48" s="81"/>
      <c r="D48" s="81"/>
      <c r="E48" s="81"/>
      <c r="F48" s="81"/>
      <c r="G48" s="42"/>
      <c r="I48" s="14"/>
    </row>
    <row r="49" spans="2:9" ht="13.9" customHeight="1" x14ac:dyDescent="0.2">
      <c r="B49" s="85" t="s">
        <v>67</v>
      </c>
      <c r="C49" s="86"/>
      <c r="D49" s="86"/>
      <c r="E49" s="86"/>
      <c r="F49" s="86"/>
      <c r="G49" s="87"/>
      <c r="I49" s="14"/>
    </row>
    <row r="50" spans="2:9" x14ac:dyDescent="0.2">
      <c r="B50" s="85"/>
      <c r="C50" s="86"/>
      <c r="D50" s="86"/>
      <c r="E50" s="86"/>
      <c r="F50" s="86"/>
      <c r="G50" s="87"/>
      <c r="I50" s="14"/>
    </row>
    <row r="51" spans="2:9" x14ac:dyDescent="0.2">
      <c r="B51" s="35"/>
      <c r="C51" s="81"/>
      <c r="D51" s="81"/>
      <c r="E51" s="81"/>
      <c r="F51" s="81"/>
      <c r="G51" s="42"/>
      <c r="I51" s="14"/>
    </row>
    <row r="52" spans="2:9" ht="13.9" customHeight="1" x14ac:dyDescent="0.2">
      <c r="B52" s="85" t="s">
        <v>68</v>
      </c>
      <c r="C52" s="86"/>
      <c r="D52" s="86"/>
      <c r="E52" s="86"/>
      <c r="F52" s="86"/>
      <c r="G52" s="87"/>
      <c r="I52" s="14"/>
    </row>
    <row r="53" spans="2:9" x14ac:dyDescent="0.2">
      <c r="B53" s="35"/>
      <c r="C53" s="81"/>
      <c r="D53" s="7"/>
      <c r="E53" s="7"/>
      <c r="F53" s="38"/>
      <c r="G53" s="37"/>
      <c r="I53" s="14"/>
    </row>
    <row r="54" spans="2:9" ht="13.9" customHeight="1" x14ac:dyDescent="0.2">
      <c r="B54" s="85" t="s">
        <v>78</v>
      </c>
      <c r="C54" s="86"/>
      <c r="D54" s="86"/>
      <c r="E54" s="86"/>
      <c r="F54" s="86"/>
      <c r="G54" s="87"/>
      <c r="I54" s="14"/>
    </row>
    <row r="55" spans="2:9" ht="13.9" customHeight="1" x14ac:dyDescent="0.2">
      <c r="B55" s="85"/>
      <c r="C55" s="86"/>
      <c r="D55" s="86"/>
      <c r="E55" s="86"/>
      <c r="F55" s="86"/>
      <c r="G55" s="87"/>
      <c r="I55" s="14"/>
    </row>
    <row r="56" spans="2:9" ht="12.75" customHeight="1" x14ac:dyDescent="0.2">
      <c r="B56" s="85"/>
      <c r="C56" s="86"/>
      <c r="D56" s="86"/>
      <c r="E56" s="86"/>
      <c r="F56" s="86"/>
      <c r="G56" s="87"/>
      <c r="I56" s="14"/>
    </row>
    <row r="57" spans="2:9" x14ac:dyDescent="0.2">
      <c r="B57" s="39"/>
      <c r="C57" s="40"/>
      <c r="D57" s="40"/>
      <c r="E57" s="40"/>
      <c r="F57" s="40"/>
      <c r="G57" s="41"/>
      <c r="I57" s="14"/>
    </row>
    <row r="58" spans="2:9" ht="15.75" x14ac:dyDescent="0.2">
      <c r="B58" s="91" t="s">
        <v>18</v>
      </c>
      <c r="C58" s="92"/>
      <c r="D58" s="92"/>
      <c r="E58" s="92"/>
      <c r="F58" s="89" t="e">
        <f>G17</f>
        <v>#N/A</v>
      </c>
      <c r="G58" s="90"/>
      <c r="I58" s="14"/>
    </row>
    <row r="59" spans="2:9" x14ac:dyDescent="0.2">
      <c r="B59" s="9"/>
      <c r="C59" s="26"/>
      <c r="D59" s="8"/>
      <c r="E59" s="27"/>
      <c r="F59" s="27"/>
      <c r="G59" s="28"/>
      <c r="I59" s="14"/>
    </row>
    <row r="60" spans="2:9" x14ac:dyDescent="0.2">
      <c r="B60" s="34" t="s">
        <v>19</v>
      </c>
      <c r="C60" s="15"/>
      <c r="D60" s="16"/>
      <c r="I60" s="14"/>
    </row>
    <row r="61" spans="2:9" x14ac:dyDescent="0.2">
      <c r="B61" s="96" t="s">
        <v>23</v>
      </c>
      <c r="C61" s="96"/>
      <c r="D61" s="96"/>
      <c r="E61" s="96"/>
      <c r="F61" s="96"/>
      <c r="G61" s="96"/>
      <c r="I61" s="14"/>
    </row>
    <row r="62" spans="2:9" x14ac:dyDescent="0.2">
      <c r="B62" s="96" t="s">
        <v>20</v>
      </c>
      <c r="C62" s="96"/>
      <c r="D62" s="96"/>
      <c r="E62" s="96"/>
      <c r="F62" s="96"/>
      <c r="G62" s="96"/>
      <c r="I62" s="14"/>
    </row>
    <row r="64" spans="2:9" x14ac:dyDescent="0.2">
      <c r="B64" s="93" t="s">
        <v>21</v>
      </c>
      <c r="C64" s="94"/>
      <c r="D64" s="94"/>
      <c r="E64" s="94"/>
      <c r="F64" s="94"/>
      <c r="G64" s="95"/>
    </row>
    <row r="67" spans="2:8" x14ac:dyDescent="0.2">
      <c r="H67" s="17"/>
    </row>
    <row r="68" spans="2:8" x14ac:dyDescent="0.2">
      <c r="H68" s="17"/>
    </row>
    <row r="73" spans="2:8" ht="23.25" x14ac:dyDescent="0.35">
      <c r="B73" s="88" t="s">
        <v>22</v>
      </c>
      <c r="C73" s="88"/>
      <c r="D73" s="88"/>
      <c r="E73" s="88"/>
      <c r="F73" s="88"/>
      <c r="G73" s="88"/>
    </row>
  </sheetData>
  <mergeCells count="29">
    <mergeCell ref="F17:F18"/>
    <mergeCell ref="G17:G18"/>
    <mergeCell ref="B20:G21"/>
    <mergeCell ref="B23:G24"/>
    <mergeCell ref="B43:G47"/>
    <mergeCell ref="E7:G7"/>
    <mergeCell ref="E2:G2"/>
    <mergeCell ref="E4:G4"/>
    <mergeCell ref="E6:G6"/>
    <mergeCell ref="E8:G8"/>
    <mergeCell ref="E9:G9"/>
    <mergeCell ref="E10:G10"/>
    <mergeCell ref="E11:G11"/>
    <mergeCell ref="E13:G13"/>
    <mergeCell ref="F15:G15"/>
    <mergeCell ref="B16:C16"/>
    <mergeCell ref="B17:C18"/>
    <mergeCell ref="B26:G41"/>
    <mergeCell ref="D17:D18"/>
    <mergeCell ref="E17:E18"/>
    <mergeCell ref="B49:G50"/>
    <mergeCell ref="B52:G52"/>
    <mergeCell ref="B54:G56"/>
    <mergeCell ref="B73:G73"/>
    <mergeCell ref="F58:G58"/>
    <mergeCell ref="B58:E58"/>
    <mergeCell ref="B64:G64"/>
    <mergeCell ref="B61:G61"/>
    <mergeCell ref="B62:G62"/>
  </mergeCells>
  <printOptions horizontalCentered="1"/>
  <pageMargins left="0.19685039370078741" right="0.19685039370078741" top="0.19685039370078741" bottom="0.19685039370078741" header="0" footer="0"/>
  <pageSetup paperSize="9" scale="78" fitToHeight="2" orientation="portrait" r:id="rId1"/>
  <headerFooter alignWithMargins="0"/>
  <rowBreaks count="1" manualBreakCount="1">
    <brk id="68" min="1" max="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DA6D4-2D72-47D6-8929-0CDB31C435FC}">
  <dimension ref="B2:R30"/>
  <sheetViews>
    <sheetView tabSelected="1" workbookViewId="0">
      <selection activeCell="M31" sqref="M31"/>
    </sheetView>
  </sheetViews>
  <sheetFormatPr defaultRowHeight="12.75" x14ac:dyDescent="0.2"/>
  <cols>
    <col min="2" max="2" width="63.28515625" customWidth="1"/>
    <col min="3" max="3" width="5.140625" bestFit="1" customWidth="1"/>
    <col min="4" max="7" width="7" bestFit="1" customWidth="1"/>
    <col min="8" max="8" width="11.28515625" bestFit="1" customWidth="1"/>
    <col min="9" max="9" width="11.28515625" customWidth="1"/>
    <col min="10" max="10" width="12.140625" bestFit="1" customWidth="1"/>
    <col min="11" max="11" width="13.28515625" bestFit="1" customWidth="1"/>
    <col min="12" max="13" width="13.28515625" customWidth="1"/>
    <col min="14" max="14" width="16.5703125" customWidth="1"/>
    <col min="15" max="15" width="14.7109375" customWidth="1"/>
    <col min="16" max="17" width="10.7109375" customWidth="1"/>
    <col min="18" max="18" width="12.28515625" hidden="1" customWidth="1"/>
  </cols>
  <sheetData>
    <row r="2" spans="2:18" ht="13.5" thickBot="1" x14ac:dyDescent="0.25">
      <c r="N2" s="46"/>
      <c r="R2" s="45" t="s">
        <v>62</v>
      </c>
    </row>
    <row r="3" spans="2:18" ht="15.75" thickBot="1" x14ac:dyDescent="0.3">
      <c r="B3" s="57" t="s">
        <v>24</v>
      </c>
      <c r="C3" s="58">
        <v>0</v>
      </c>
      <c r="D3" s="59">
        <v>1</v>
      </c>
      <c r="E3" s="59">
        <v>2</v>
      </c>
      <c r="F3" s="59">
        <v>3</v>
      </c>
      <c r="G3" s="60">
        <v>4</v>
      </c>
      <c r="K3" s="46" t="s">
        <v>34</v>
      </c>
      <c r="L3" s="46" t="s">
        <v>54</v>
      </c>
      <c r="M3" s="45"/>
      <c r="N3" s="46" t="s">
        <v>61</v>
      </c>
      <c r="O3" s="45" t="s">
        <v>63</v>
      </c>
      <c r="P3" s="50"/>
      <c r="Q3" s="50"/>
      <c r="R3" s="79" t="s">
        <v>63</v>
      </c>
    </row>
    <row r="4" spans="2:18" ht="16.5" thickTop="1" thickBot="1" x14ac:dyDescent="0.3">
      <c r="B4" s="69" t="s">
        <v>82</v>
      </c>
      <c r="C4" s="70" t="s">
        <v>33</v>
      </c>
      <c r="D4" s="53"/>
      <c r="E4" s="53"/>
      <c r="F4" s="53"/>
      <c r="G4" s="54"/>
      <c r="N4" s="46" t="s">
        <v>37</v>
      </c>
      <c r="O4" s="52" t="e">
        <f>SUM(K24:L24)</f>
        <v>#N/A</v>
      </c>
      <c r="P4" s="50"/>
      <c r="Q4" s="50"/>
      <c r="R4" s="50"/>
    </row>
    <row r="5" spans="2:18" ht="15" x14ac:dyDescent="0.25">
      <c r="B5" s="63"/>
      <c r="C5" s="72"/>
      <c r="D5" s="61"/>
      <c r="E5" s="73"/>
      <c r="F5" s="73"/>
      <c r="G5" s="56"/>
      <c r="N5" s="46" t="s">
        <v>38</v>
      </c>
      <c r="O5" s="52" t="e">
        <f>O4/0.35</f>
        <v>#N/A</v>
      </c>
      <c r="P5" s="51"/>
      <c r="Q5" s="51"/>
      <c r="R5" s="80" t="s">
        <v>27</v>
      </c>
    </row>
    <row r="6" spans="2:18" ht="15" x14ac:dyDescent="0.25">
      <c r="B6" s="55"/>
      <c r="C6" s="72"/>
      <c r="D6" s="62"/>
      <c r="E6" s="73"/>
      <c r="F6" s="73"/>
      <c r="G6" s="56"/>
      <c r="N6" s="50" t="s">
        <v>79</v>
      </c>
      <c r="O6" s="84">
        <v>0.35</v>
      </c>
      <c r="P6" s="51"/>
      <c r="Q6" s="51"/>
      <c r="R6" s="80" t="s">
        <v>76</v>
      </c>
    </row>
    <row r="7" spans="2:18" ht="15" x14ac:dyDescent="0.25">
      <c r="B7" s="55"/>
      <c r="C7" s="72"/>
      <c r="D7" s="62"/>
      <c r="E7" s="73"/>
      <c r="F7" s="73"/>
      <c r="G7" s="56"/>
      <c r="N7" s="50"/>
      <c r="O7" s="51"/>
      <c r="P7" s="51"/>
      <c r="Q7" s="51"/>
      <c r="R7" s="80" t="s">
        <v>26</v>
      </c>
    </row>
    <row r="8" spans="2:18" ht="15.75" thickBot="1" x14ac:dyDescent="0.3">
      <c r="B8" s="55"/>
      <c r="C8" s="72"/>
      <c r="D8" s="62"/>
      <c r="E8" s="73"/>
      <c r="F8" s="73"/>
      <c r="G8" s="56"/>
      <c r="N8" s="50"/>
      <c r="O8" s="51"/>
      <c r="P8" s="51"/>
      <c r="Q8" s="51"/>
      <c r="R8" s="80" t="s">
        <v>28</v>
      </c>
    </row>
    <row r="9" spans="2:18" ht="15.75" thickBot="1" x14ac:dyDescent="0.3">
      <c r="B9" s="66" t="s">
        <v>40</v>
      </c>
      <c r="C9" s="67"/>
      <c r="D9" s="70" t="str">
        <f>"+" &amp; $H9 &amp; " dias"</f>
        <v>+1 dias</v>
      </c>
      <c r="E9" s="73"/>
      <c r="F9" s="73"/>
      <c r="G9" s="56"/>
      <c r="H9">
        <v>1</v>
      </c>
      <c r="N9" s="47"/>
    </row>
    <row r="10" spans="2:18" ht="15" x14ac:dyDescent="0.25">
      <c r="B10" s="63"/>
      <c r="C10" s="65"/>
      <c r="D10" s="73"/>
      <c r="E10" s="61"/>
      <c r="F10" s="73"/>
      <c r="G10" s="56"/>
    </row>
    <row r="11" spans="2:18" ht="15" x14ac:dyDescent="0.25">
      <c r="B11" s="55"/>
      <c r="C11" s="73"/>
      <c r="D11" s="73"/>
      <c r="E11" s="62"/>
      <c r="F11" s="73"/>
      <c r="G11" s="56"/>
    </row>
    <row r="12" spans="2:18" ht="15.75" thickBot="1" x14ac:dyDescent="0.3">
      <c r="B12" s="55"/>
      <c r="C12" s="73"/>
      <c r="D12" s="73"/>
      <c r="E12" s="62"/>
      <c r="F12" s="73"/>
      <c r="G12" s="56"/>
    </row>
    <row r="13" spans="2:18" ht="15.75" thickBot="1" x14ac:dyDescent="0.3">
      <c r="B13" s="66" t="s">
        <v>41</v>
      </c>
      <c r="C13" s="68"/>
      <c r="D13" s="68"/>
      <c r="E13" s="70" t="str">
        <f>"+" &amp; $H13 &amp; " dias"</f>
        <v>+2 dias</v>
      </c>
      <c r="F13" s="73"/>
      <c r="G13" s="56"/>
      <c r="H13">
        <v>2</v>
      </c>
    </row>
    <row r="14" spans="2:18" ht="15" x14ac:dyDescent="0.25">
      <c r="B14" s="63"/>
      <c r="C14" s="73"/>
      <c r="D14" s="73"/>
      <c r="E14" s="73"/>
      <c r="F14" s="61"/>
      <c r="G14" s="56"/>
    </row>
    <row r="15" spans="2:18" ht="15" x14ac:dyDescent="0.25">
      <c r="B15" s="55"/>
      <c r="C15" s="73"/>
      <c r="D15" s="73"/>
      <c r="E15" s="73"/>
      <c r="F15" s="62"/>
      <c r="G15" s="56"/>
    </row>
    <row r="16" spans="2:18" ht="15.75" thickBot="1" x14ac:dyDescent="0.3">
      <c r="B16" s="55"/>
      <c r="C16" s="73"/>
      <c r="D16" s="73"/>
      <c r="E16" s="73"/>
      <c r="F16" s="62"/>
      <c r="G16" s="56"/>
    </row>
    <row r="17" spans="2:13" ht="15.75" thickBot="1" x14ac:dyDescent="0.3">
      <c r="B17" s="66" t="s">
        <v>32</v>
      </c>
      <c r="C17" s="68"/>
      <c r="D17" s="68"/>
      <c r="E17" s="68"/>
      <c r="F17" s="70" t="str">
        <f>"+" &amp; $H17 &amp; " dias"</f>
        <v>+2 dias</v>
      </c>
      <c r="G17" s="56"/>
      <c r="H17">
        <v>2</v>
      </c>
    </row>
    <row r="18" spans="2:13" ht="15" x14ac:dyDescent="0.25">
      <c r="B18" s="55"/>
      <c r="C18" s="73"/>
      <c r="D18" s="73"/>
      <c r="E18" s="73"/>
      <c r="F18" s="73"/>
      <c r="G18" s="62"/>
    </row>
    <row r="19" spans="2:13" ht="15" x14ac:dyDescent="0.25">
      <c r="B19" s="55"/>
      <c r="C19" s="73"/>
      <c r="D19" s="73"/>
      <c r="E19" s="73"/>
      <c r="F19" s="73"/>
      <c r="G19" s="62"/>
    </row>
    <row r="20" spans="2:13" ht="15.75" thickBot="1" x14ac:dyDescent="0.3">
      <c r="B20" s="64"/>
      <c r="C20" s="73"/>
      <c r="D20" s="73"/>
      <c r="E20" s="73"/>
      <c r="F20" s="73"/>
      <c r="G20" s="62"/>
    </row>
    <row r="21" spans="2:13" ht="15.75" thickBot="1" x14ac:dyDescent="0.3">
      <c r="B21" s="66" t="s">
        <v>83</v>
      </c>
      <c r="C21" s="68"/>
      <c r="D21" s="68"/>
      <c r="E21" s="68"/>
      <c r="F21" s="68"/>
      <c r="G21" s="70" t="str">
        <f>"+" &amp; $H21 &amp; " dias"</f>
        <v>+5 dias</v>
      </c>
      <c r="H21">
        <v>5</v>
      </c>
    </row>
    <row r="22" spans="2:13" x14ac:dyDescent="0.2">
      <c r="H22">
        <f>SUM(H5:H21)</f>
        <v>10</v>
      </c>
      <c r="J22" s="46" t="s">
        <v>65</v>
      </c>
      <c r="K22">
        <f>SUM(K4:K21)</f>
        <v>0</v>
      </c>
      <c r="L22">
        <f>SUM(L4:L21)</f>
        <v>0</v>
      </c>
    </row>
    <row r="23" spans="2:13" x14ac:dyDescent="0.2">
      <c r="J23" s="46" t="s">
        <v>64</v>
      </c>
      <c r="K23" s="47">
        <f>VLOOKUP(K3,'Tabela HH'!$H$4:$K$19,IF($O$3="Sim",4,3),0)</f>
        <v>100</v>
      </c>
      <c r="L23" s="47" t="e">
        <f>VLOOKUP(L3,'Tabela HH'!$H$4:$K$19,IF($O$3="Sim",4,3),0)</f>
        <v>#N/A</v>
      </c>
    </row>
    <row r="24" spans="2:13" x14ac:dyDescent="0.2">
      <c r="K24" s="52">
        <f>K22*VLOOKUP(K3,'Tabela HH'!$H$4:$K$19,IF($O$3="Sim",4,3),0)</f>
        <v>0</v>
      </c>
      <c r="L24" s="52" t="e">
        <f>L22*VLOOKUP(L3,'Tabela HH'!$H$4:$K$19,IF($O$3="Sim",4,3),0)</f>
        <v>#N/A</v>
      </c>
    </row>
    <row r="25" spans="2:13" x14ac:dyDescent="0.2">
      <c r="J25" s="46" t="s">
        <v>31</v>
      </c>
      <c r="K25" s="75" t="e">
        <f>K24/$O$4*$O$6</f>
        <v>#N/A</v>
      </c>
      <c r="L25" s="75" t="e">
        <f>L24/$O$4*$O$6</f>
        <v>#N/A</v>
      </c>
      <c r="M25" s="74" t="e">
        <f>SUM(K25:L25)</f>
        <v>#N/A</v>
      </c>
    </row>
    <row r="26" spans="2:13" x14ac:dyDescent="0.2">
      <c r="C26" s="45"/>
    </row>
    <row r="27" spans="2:13" x14ac:dyDescent="0.2">
      <c r="B27" s="45"/>
      <c r="C27" s="45"/>
    </row>
    <row r="28" spans="2:13" x14ac:dyDescent="0.2">
      <c r="B28" s="45"/>
    </row>
    <row r="29" spans="2:13" x14ac:dyDescent="0.2">
      <c r="B29" s="45"/>
    </row>
    <row r="30" spans="2:13" ht="15" x14ac:dyDescent="0.25">
      <c r="B30" s="48"/>
    </row>
  </sheetData>
  <dataValidations count="1">
    <dataValidation type="list" allowBlank="1" showInputMessage="1" showErrorMessage="1" sqref="O3" xr:uid="{D2015976-DE7D-46C4-A0E5-2084823F9925}">
      <formula1>SimNao</formula1>
    </dataValidation>
  </dataValidation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12CC8-E686-4266-8BB2-8A1A5E610AD0}">
  <dimension ref="A1:K21"/>
  <sheetViews>
    <sheetView workbookViewId="0">
      <selection activeCell="I11" sqref="I11"/>
    </sheetView>
  </sheetViews>
  <sheetFormatPr defaultRowHeight="12.75" x14ac:dyDescent="0.2"/>
  <cols>
    <col min="1" max="1" width="16.140625" bestFit="1" customWidth="1"/>
    <col min="2" max="2" width="12" customWidth="1"/>
    <col min="3" max="3" width="13.28515625" customWidth="1"/>
    <col min="4" max="4" width="12.85546875" customWidth="1"/>
    <col min="5" max="5" width="10.5703125" bestFit="1" customWidth="1"/>
    <col min="8" max="8" width="9.85546875" bestFit="1" customWidth="1"/>
    <col min="9" max="9" width="12.140625" bestFit="1" customWidth="1"/>
    <col min="10" max="10" width="10.7109375" bestFit="1" customWidth="1"/>
    <col min="11" max="11" width="11.28515625" bestFit="1" customWidth="1"/>
  </cols>
  <sheetData>
    <row r="1" spans="1:11" x14ac:dyDescent="0.2">
      <c r="A1" s="114" t="s">
        <v>48</v>
      </c>
      <c r="B1" s="114"/>
      <c r="C1" s="114"/>
      <c r="D1" s="114"/>
      <c r="E1" s="114"/>
    </row>
    <row r="2" spans="1:11" x14ac:dyDescent="0.2">
      <c r="A2" s="49"/>
      <c r="B2" s="50" t="s">
        <v>25</v>
      </c>
      <c r="C2" s="50" t="s">
        <v>26</v>
      </c>
      <c r="D2" s="50" t="s">
        <v>27</v>
      </c>
      <c r="E2" s="50" t="s">
        <v>28</v>
      </c>
    </row>
    <row r="3" spans="1:11" x14ac:dyDescent="0.2">
      <c r="A3" s="50" t="s">
        <v>29</v>
      </c>
      <c r="B3" s="51">
        <v>15</v>
      </c>
      <c r="C3" s="51">
        <v>20</v>
      </c>
      <c r="D3" s="51">
        <v>30</v>
      </c>
      <c r="E3" s="51">
        <v>30</v>
      </c>
      <c r="H3" s="46" t="s">
        <v>54</v>
      </c>
      <c r="I3" s="46" t="s">
        <v>57</v>
      </c>
      <c r="J3" s="46" t="s">
        <v>59</v>
      </c>
      <c r="K3" s="46" t="s">
        <v>58</v>
      </c>
    </row>
    <row r="4" spans="1:11" x14ac:dyDescent="0.2">
      <c r="A4" s="50" t="s">
        <v>30</v>
      </c>
      <c r="B4" s="51">
        <v>30</v>
      </c>
      <c r="C4" s="51">
        <v>40</v>
      </c>
      <c r="D4" s="51">
        <v>50</v>
      </c>
      <c r="E4" s="51">
        <v>50</v>
      </c>
      <c r="G4" s="50"/>
      <c r="H4" s="45" t="s">
        <v>34</v>
      </c>
      <c r="I4" s="45" t="s">
        <v>43</v>
      </c>
      <c r="J4" s="47">
        <f>VLOOKUP(I4,$A$3:$E$6,4,0)</f>
        <v>100</v>
      </c>
      <c r="K4" s="47">
        <f>VLOOKUP(I4,$A$12:$E$15,4,0)</f>
        <v>140</v>
      </c>
    </row>
    <row r="5" spans="1:11" x14ac:dyDescent="0.2">
      <c r="A5" s="50" t="s">
        <v>42</v>
      </c>
      <c r="B5" s="51">
        <v>50</v>
      </c>
      <c r="C5" s="51">
        <v>60</v>
      </c>
      <c r="D5" s="51">
        <f>75</f>
        <v>75</v>
      </c>
      <c r="E5" s="51">
        <v>75</v>
      </c>
      <c r="G5" s="50"/>
      <c r="H5" s="79" t="s">
        <v>35</v>
      </c>
      <c r="I5" s="45" t="s">
        <v>42</v>
      </c>
      <c r="J5" s="47">
        <f t="shared" ref="J5:J7" si="0">VLOOKUP(I5,$A$3:$E$6,4,0)</f>
        <v>75</v>
      </c>
      <c r="K5" s="47">
        <f t="shared" ref="K5:K7" si="1">VLOOKUP(I5,$A$12:$E$15,4,0)</f>
        <v>105</v>
      </c>
    </row>
    <row r="6" spans="1:11" x14ac:dyDescent="0.2">
      <c r="A6" s="50" t="s">
        <v>43</v>
      </c>
      <c r="B6" s="51">
        <v>80</v>
      </c>
      <c r="C6" s="51">
        <f>90</f>
        <v>90</v>
      </c>
      <c r="D6" s="51">
        <f>100</f>
        <v>100</v>
      </c>
      <c r="E6" s="51">
        <v>100</v>
      </c>
      <c r="G6" s="50"/>
      <c r="H6" s="45" t="s">
        <v>49</v>
      </c>
      <c r="I6" s="45" t="s">
        <v>42</v>
      </c>
      <c r="J6" s="47">
        <f t="shared" si="0"/>
        <v>75</v>
      </c>
      <c r="K6" s="47">
        <f t="shared" si="1"/>
        <v>105</v>
      </c>
    </row>
    <row r="7" spans="1:11" x14ac:dyDescent="0.2">
      <c r="G7" s="50"/>
      <c r="H7" s="45" t="s">
        <v>39</v>
      </c>
      <c r="I7" s="45" t="s">
        <v>30</v>
      </c>
      <c r="J7" s="47">
        <f t="shared" si="0"/>
        <v>50</v>
      </c>
      <c r="K7" s="47">
        <f t="shared" si="1"/>
        <v>70</v>
      </c>
    </row>
    <row r="8" spans="1:11" x14ac:dyDescent="0.2">
      <c r="G8" s="50"/>
      <c r="H8" s="45" t="s">
        <v>55</v>
      </c>
      <c r="I8" s="45" t="s">
        <v>29</v>
      </c>
      <c r="J8" s="47">
        <f>VLOOKUP(I8,$A$3:$E$6,4,0)</f>
        <v>30</v>
      </c>
      <c r="K8" s="47">
        <f>VLOOKUP(I8,$A$12:$E$15,4,0)</f>
        <v>42</v>
      </c>
    </row>
    <row r="9" spans="1:11" x14ac:dyDescent="0.2">
      <c r="A9" s="114" t="s">
        <v>44</v>
      </c>
      <c r="B9" s="114"/>
      <c r="C9" s="114"/>
      <c r="D9" s="114"/>
      <c r="E9" s="114"/>
      <c r="G9" s="50"/>
      <c r="H9" s="45" t="s">
        <v>77</v>
      </c>
      <c r="I9" s="45" t="s">
        <v>29</v>
      </c>
      <c r="J9" s="47">
        <f>VLOOKUP(I9,$A$3:$E$6,4,0)</f>
        <v>30</v>
      </c>
      <c r="K9" s="47">
        <f>VLOOKUP(I9,$A$12:$E$15,4,0)</f>
        <v>42</v>
      </c>
    </row>
    <row r="10" spans="1:11" x14ac:dyDescent="0.2">
      <c r="A10" s="71"/>
      <c r="B10" s="71"/>
      <c r="C10" s="71"/>
      <c r="D10" s="71"/>
      <c r="E10" s="71"/>
      <c r="G10" s="50"/>
      <c r="H10" s="45" t="s">
        <v>81</v>
      </c>
      <c r="I10" s="45" t="s">
        <v>30</v>
      </c>
      <c r="J10" s="47">
        <f>VLOOKUP(I10,$A$3:$E$6,4,0)</f>
        <v>50</v>
      </c>
      <c r="K10" s="47">
        <f>VLOOKUP(I10,$A$12:$E$15,4,0)</f>
        <v>70</v>
      </c>
    </row>
    <row r="11" spans="1:11" x14ac:dyDescent="0.2">
      <c r="A11" s="49"/>
      <c r="B11" s="50" t="s">
        <v>25</v>
      </c>
      <c r="C11" s="50" t="s">
        <v>26</v>
      </c>
      <c r="D11" s="50" t="s">
        <v>27</v>
      </c>
      <c r="E11" s="50" t="s">
        <v>28</v>
      </c>
      <c r="G11" s="71"/>
      <c r="H11" s="79" t="s">
        <v>84</v>
      </c>
      <c r="I11" s="45" t="s">
        <v>29</v>
      </c>
      <c r="J11" s="47">
        <f>VLOOKUP(I11,$A$3:$E$6,4,0)</f>
        <v>30</v>
      </c>
      <c r="K11" s="47">
        <f>VLOOKUP(I11,$A$12:$E$15,4,0)</f>
        <v>42</v>
      </c>
    </row>
    <row r="12" spans="1:11" x14ac:dyDescent="0.2">
      <c r="A12" s="50" t="s">
        <v>29</v>
      </c>
      <c r="B12" s="51">
        <f>1.4*B3</f>
        <v>21</v>
      </c>
      <c r="C12" s="51">
        <f t="shared" ref="C12:E12" si="2">1.4*C3</f>
        <v>28</v>
      </c>
      <c r="D12" s="51">
        <f t="shared" si="2"/>
        <v>42</v>
      </c>
      <c r="E12" s="51">
        <f t="shared" si="2"/>
        <v>42</v>
      </c>
      <c r="G12" s="50"/>
      <c r="H12" s="45" t="s">
        <v>52</v>
      </c>
      <c r="I12" s="45" t="s">
        <v>60</v>
      </c>
      <c r="J12" s="47">
        <v>120</v>
      </c>
      <c r="K12" s="47">
        <v>120</v>
      </c>
    </row>
    <row r="13" spans="1:11" x14ac:dyDescent="0.2">
      <c r="A13" s="50" t="s">
        <v>30</v>
      </c>
      <c r="B13" s="51">
        <f t="shared" ref="B13:E13" si="3">1.4*B4</f>
        <v>42</v>
      </c>
      <c r="C13" s="51">
        <f t="shared" si="3"/>
        <v>56</v>
      </c>
      <c r="D13" s="51">
        <f t="shared" si="3"/>
        <v>70</v>
      </c>
      <c r="E13" s="51">
        <f t="shared" si="3"/>
        <v>70</v>
      </c>
      <c r="G13" s="50"/>
      <c r="H13" s="45" t="s">
        <v>50</v>
      </c>
      <c r="I13" s="45" t="s">
        <v>42</v>
      </c>
      <c r="J13" s="47">
        <f>VLOOKUP(I13,$A$3:$E$6,5,0)</f>
        <v>75</v>
      </c>
      <c r="K13" s="47">
        <f>VLOOKUP(I13,$A$12:$E$15,5,0)</f>
        <v>105</v>
      </c>
    </row>
    <row r="14" spans="1:11" x14ac:dyDescent="0.2">
      <c r="A14" s="50" t="s">
        <v>42</v>
      </c>
      <c r="B14" s="51">
        <f t="shared" ref="B14:E14" si="4">1.4*B5</f>
        <v>70</v>
      </c>
      <c r="C14" s="51">
        <f t="shared" si="4"/>
        <v>84</v>
      </c>
      <c r="D14" s="51">
        <f t="shared" si="4"/>
        <v>105</v>
      </c>
      <c r="E14" s="51">
        <f t="shared" si="4"/>
        <v>105</v>
      </c>
      <c r="G14" s="50"/>
      <c r="H14" s="45" t="s">
        <v>80</v>
      </c>
      <c r="I14" s="45" t="s">
        <v>30</v>
      </c>
      <c r="J14" s="47">
        <f>VLOOKUP(I14,$A$3:$E$6,4,0)</f>
        <v>50</v>
      </c>
      <c r="K14" s="47">
        <f>VLOOKUP(I14,$A$12:$E$15,4,0)</f>
        <v>70</v>
      </c>
    </row>
    <row r="15" spans="1:11" x14ac:dyDescent="0.2">
      <c r="A15" s="50" t="s">
        <v>43</v>
      </c>
      <c r="B15" s="51">
        <f t="shared" ref="B15:E15" si="5">1.4*B6</f>
        <v>112</v>
      </c>
      <c r="C15" s="51">
        <f t="shared" si="5"/>
        <v>125.99999999999999</v>
      </c>
      <c r="D15" s="51">
        <f t="shared" si="5"/>
        <v>140</v>
      </c>
      <c r="E15" s="51">
        <f t="shared" si="5"/>
        <v>140</v>
      </c>
      <c r="G15" s="50"/>
      <c r="H15" s="45" t="s">
        <v>36</v>
      </c>
      <c r="I15" s="45" t="s">
        <v>43</v>
      </c>
      <c r="J15" s="47">
        <f>VLOOKUP(I15,$A$3:$E$6,3,0)</f>
        <v>90</v>
      </c>
      <c r="K15" s="47">
        <f>VLOOKUP(I15,$A$12:$E$15,3,0)</f>
        <v>125.99999999999999</v>
      </c>
    </row>
    <row r="16" spans="1:11" x14ac:dyDescent="0.2">
      <c r="H16" s="45" t="s">
        <v>51</v>
      </c>
      <c r="I16" s="45" t="s">
        <v>30</v>
      </c>
      <c r="J16" s="47">
        <f>VLOOKUP(I16,$A$3:$E$6,3,0)</f>
        <v>40</v>
      </c>
      <c r="K16" s="47">
        <f>VLOOKUP(I16,$A$12:$E$15,3,0)</f>
        <v>56</v>
      </c>
    </row>
    <row r="17" spans="1:11" x14ac:dyDescent="0.2">
      <c r="H17" s="79" t="s">
        <v>56</v>
      </c>
      <c r="I17" s="45" t="s">
        <v>29</v>
      </c>
      <c r="J17" s="47">
        <f>VLOOKUP(I17,$A$3:$E$6,3,0)</f>
        <v>20</v>
      </c>
      <c r="K17" s="47">
        <f>VLOOKUP(I17,$A$12:$E$15,3,0)</f>
        <v>28</v>
      </c>
    </row>
    <row r="18" spans="1:11" x14ac:dyDescent="0.2">
      <c r="A18" s="115" t="s">
        <v>45</v>
      </c>
      <c r="B18" s="115"/>
      <c r="C18" s="115"/>
      <c r="D18" s="115"/>
      <c r="E18" s="115"/>
      <c r="H18" s="45" t="s">
        <v>53</v>
      </c>
      <c r="I18" s="45" t="s">
        <v>60</v>
      </c>
      <c r="J18" s="47">
        <v>150</v>
      </c>
      <c r="K18" s="47">
        <v>150</v>
      </c>
    </row>
    <row r="19" spans="1:11" x14ac:dyDescent="0.2">
      <c r="A19" s="46" t="s">
        <v>46</v>
      </c>
      <c r="B19" s="47">
        <v>150</v>
      </c>
      <c r="H19" s="45" t="s">
        <v>86</v>
      </c>
      <c r="I19" s="45" t="s">
        <v>60</v>
      </c>
      <c r="J19" s="47">
        <v>100</v>
      </c>
      <c r="K19" s="47">
        <v>100</v>
      </c>
    </row>
    <row r="20" spans="1:11" x14ac:dyDescent="0.2">
      <c r="A20" s="46" t="s">
        <v>47</v>
      </c>
      <c r="B20" s="47">
        <v>120</v>
      </c>
    </row>
    <row r="21" spans="1:11" x14ac:dyDescent="0.2">
      <c r="A21" s="46" t="s">
        <v>85</v>
      </c>
      <c r="B21" s="47">
        <v>100</v>
      </c>
    </row>
  </sheetData>
  <mergeCells count="3">
    <mergeCell ref="A1:E1"/>
    <mergeCell ref="A9:E9"/>
    <mergeCell ref="A18:E18"/>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2</vt:i4>
      </vt:variant>
    </vt:vector>
  </HeadingPairs>
  <TitlesOfParts>
    <vt:vector size="5" baseType="lpstr">
      <vt:lpstr>Proposta</vt:lpstr>
      <vt:lpstr>Cronograma</vt:lpstr>
      <vt:lpstr>Tabela HH</vt:lpstr>
      <vt:lpstr>Proposta!Area_de_impressao</vt:lpstr>
      <vt:lpstr>SimNao</vt:lpstr>
    </vt:vector>
  </TitlesOfParts>
  <Company>ESSS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Marcus Reis</dc:creator>
  <cp:lastModifiedBy>Marcus Castro Neves</cp:lastModifiedBy>
  <cp:lastPrinted>2023-07-19T09:58:00Z</cp:lastPrinted>
  <dcterms:created xsi:type="dcterms:W3CDTF">2000-12-10T19:04:38Z</dcterms:created>
  <dcterms:modified xsi:type="dcterms:W3CDTF">2026-02-21T00:20:09Z</dcterms:modified>
</cp:coreProperties>
</file>