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500" firstSheet="2" activeTab="4" autoFilterDateGrouping="1"/>
  </bookViews>
  <sheets>
    <sheet name="1_Geometria" sheetId="1" state="visible" r:id="rId1"/>
    <sheet name="2_Vazoes_Velocidades" sheetId="2" state="visible" r:id="rId2"/>
    <sheet name="3_Fases_Propriedades" sheetId="3" state="visible" r:id="rId3"/>
    <sheet name="4_Turbulencia_CC" sheetId="4" state="visible" r:id="rId4"/>
    <sheet name="5_Pressao_Operacional" sheetId="5" state="visible" r:id="rId5"/>
    <sheet name="6_Nota_DEM_vs_EE" sheetId="6" state="visible" r:id="rId6"/>
    <sheet name="7_Difusores_Microbolhas" sheetId="7" state="visible" r:id="rId7"/>
    <sheet name="8_Eletrodos" sheetId="8" state="visible" r:id="rId8"/>
    <sheet name="9_Regioes_Cinetica_PosProc" sheetId="9" state="visible" r:id="rId9"/>
    <sheet name="10_Reports_STARCCM" sheetId="10" state="visible" r:id="rId10"/>
    <sheet name="11_Matriz_Cenarios" sheetId="11" state="visible" r:id="rId11"/>
    <sheet name="12_Folgas_Criticas" sheetId="12" state="visible" r:id="rId12"/>
    <sheet name="13_Manifold_Recirculacao" sheetId="13" state="visible" r:id="rId13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"/>
    <numFmt numFmtId="166" formatCode="0.000000"/>
    <numFmt numFmtId="167" formatCode="0.0000"/>
  </numFmts>
  <fonts count="24">
    <font>
      <name val="Calibri"/>
      <charset val="1"/>
      <family val="2"/>
      <color theme="1"/>
      <sz val="11"/>
    </font>
    <font>
      <name val="Arial"/>
      <charset val="1"/>
      <b val="1"/>
      <color rgb="FFFFFFFF"/>
      <sz val="13"/>
    </font>
    <font>
      <name val="Arial"/>
      <charset val="1"/>
      <b val="1"/>
      <color rgb="FFFFFFFF"/>
      <sz val="11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color rgb="FF000000"/>
      <sz val="10"/>
    </font>
    <font>
      <name val="Arial"/>
      <charset val="1"/>
      <i val="1"/>
      <sz val="10"/>
    </font>
    <font>
      <name val="Arial"/>
      <charset val="1"/>
      <color rgb="FF595959"/>
      <sz val="9"/>
    </font>
    <font>
      <name val="Arial"/>
      <charset val="1"/>
      <b val="1"/>
      <color rgb="FF7B2D00"/>
      <sz val="10"/>
    </font>
    <font>
      <name val="Arial"/>
      <charset val="1"/>
      <i val="1"/>
      <color rgb="FF7B2D00"/>
      <sz val="10"/>
    </font>
    <font>
      <name val="Arial"/>
      <charset val="1"/>
      <b val="1"/>
      <color rgb="FF0000FF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FFFF"/>
      <sz val="10"/>
    </font>
    <font>
      <name val="Arial"/>
      <charset val="1"/>
      <color rgb="FF00B050"/>
      <sz val="10"/>
    </font>
    <font>
      <name val="Arial"/>
      <charset val="1"/>
      <b val="1"/>
      <sz val="10"/>
    </font>
    <font>
      <name val="Arial"/>
      <charset val="1"/>
      <b val="1"/>
      <color rgb="FFFF0000"/>
      <sz val="10"/>
    </font>
    <font>
      <name val="Arial"/>
      <charset val="1"/>
      <b val="1"/>
      <sz val="11"/>
    </font>
    <font>
      <name val="Arial"/>
      <charset val="1"/>
      <sz val="9"/>
    </font>
    <font>
      <name val="Arial"/>
      <charset val="1"/>
      <i val="1"/>
      <sz val="9"/>
    </font>
    <font>
      <name val="Arial"/>
      <charset val="1"/>
      <b val="1"/>
      <i val="1"/>
      <color rgb="FF7B2D00"/>
      <sz val="10"/>
    </font>
    <font>
      <name val="Arial"/>
      <charset val="1"/>
      <b val="1"/>
      <color rgb="FFFFFFFF"/>
      <sz val="12"/>
    </font>
    <font>
      <b val="1"/>
    </font>
    <font>
      <color rgb="FF0000FF"/>
    </font>
    <font>
      <b val="1"/>
      <color rgb="FFFFFFFF"/>
      <sz val="11"/>
    </font>
  </fonts>
  <fills count="26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7D31"/>
        <bgColor rgb="FFFF8080"/>
      </patternFill>
    </fill>
    <fill>
      <patternFill patternType="solid">
        <fgColor rgb="FF0070C0"/>
        <bgColor rgb="FF008080"/>
      </patternFill>
    </fill>
    <fill>
      <patternFill patternType="solid">
        <fgColor rgb="FFDCE6F1"/>
        <bgColor rgb="FFD6E4F0"/>
      </patternFill>
    </fill>
    <fill>
      <patternFill patternType="solid">
        <fgColor rgb="FF00B050"/>
        <bgColor rgb="FF008080"/>
      </patternFill>
    </fill>
    <fill>
      <patternFill patternType="solid">
        <fgColor rgb="FFE2EFDA"/>
        <bgColor rgb="FFDCE6F1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D6E4F0"/>
        <bgColor rgb="FFDCE6F1"/>
      </patternFill>
    </fill>
    <fill>
      <patternFill patternType="solid">
        <fgColor rgb="FFFFFFFF"/>
        <bgColor rgb="FFF2F2F2"/>
      </patternFill>
    </fill>
    <fill>
      <patternFill patternType="solid">
        <fgColor rgb="FF5DCAA5"/>
        <bgColor rgb="FF99CCFF"/>
      </patternFill>
    </fill>
    <fill>
      <patternFill patternType="solid">
        <fgColor rgb="FFBA7517"/>
        <bgColor rgb="FFED7D31"/>
      </patternFill>
    </fill>
    <fill>
      <patternFill patternType="solid">
        <fgColor rgb="FFFF0000"/>
        <bgColor rgb="FF800000"/>
      </patternFill>
    </fill>
    <fill>
      <patternFill patternType="solid">
        <fgColor rgb="FF2E75B6"/>
        <bgColor rgb="FF0070C0"/>
      </patternFill>
    </fill>
    <fill>
      <patternFill patternType="solid">
        <fgColor rgb="00FCE4D6"/>
      </patternFill>
    </fill>
    <fill>
      <patternFill patternType="solid">
        <fgColor rgb="00DCE6F1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ED7D31"/>
      </patternFill>
    </fill>
    <fill>
      <patternFill patternType="solid">
        <fgColor rgb="000070C0"/>
      </patternFill>
    </fill>
    <fill>
      <patternFill patternType="solid">
        <fgColor rgb="007030A0"/>
      </patternFill>
    </fill>
    <fill>
      <patternFill patternType="solid">
        <fgColor rgb="0000B050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  <border>
      <left/>
      <right/>
      <top style="thin">
        <color rgb="00999999"/>
      </top>
      <bottom/>
      <diagonal/>
    </border>
    <border>
      <left/>
      <right style="thin">
        <color rgb="00999999"/>
      </right>
      <top style="thin">
        <color rgb="00999999"/>
      </top>
      <bottom/>
      <diagonal/>
    </border>
    <border>
      <left/>
      <right/>
      <top style="thin">
        <color rgb="00999999"/>
      </top>
      <bottom style="thin">
        <color rgb="00999999"/>
      </bottom>
      <diagonal/>
    </border>
    <border>
      <left/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14">
    <xf numFmtId="0" fontId="0" fillId="0" borderId="0" pivotButton="0" quotePrefix="0" xfId="0"/>
    <xf numFmtId="0" fontId="12" fillId="16" borderId="2" applyAlignment="1" pivotButton="0" quotePrefix="0" xfId="0">
      <alignment horizontal="left" vertical="center" wrapText="1"/>
    </xf>
    <xf numFmtId="0" fontId="20" fillId="2" borderId="3" applyAlignment="1" pivotButton="0" quotePrefix="0" xfId="0">
      <alignment horizontal="center" vertical="center" wrapText="1"/>
    </xf>
    <xf numFmtId="0" fontId="19" fillId="8" borderId="3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2" fontId="5" fillId="7" borderId="1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left" vertical="center" wrapText="1"/>
    </xf>
    <xf numFmtId="0" fontId="5" fillId="8" borderId="2" applyAlignment="1" pivotButton="0" quotePrefix="0" xfId="0">
      <alignment horizontal="left" vertical="center" wrapText="1"/>
    </xf>
    <xf numFmtId="164" fontId="13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6" fontId="5" fillId="7" borderId="1" applyAlignment="1" pivotButton="0" quotePrefix="0" xfId="0">
      <alignment horizontal="center" vertical="center"/>
    </xf>
    <xf numFmtId="167" fontId="5" fillId="7" borderId="1" applyAlignment="1" pivotButton="0" quotePrefix="0" xfId="0">
      <alignment horizontal="center" vertical="center"/>
    </xf>
    <xf numFmtId="1" fontId="5" fillId="7" borderId="1" applyAlignment="1" pivotButton="0" quotePrefix="0" xfId="0">
      <alignment horizontal="center" vertical="center"/>
    </xf>
    <xf numFmtId="0" fontId="5" fillId="12" borderId="2" applyAlignment="1" pivotButton="0" quotePrefix="0" xfId="0">
      <alignment horizontal="left" vertical="center" wrapText="1"/>
    </xf>
    <xf numFmtId="0" fontId="12" fillId="2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 wrapText="1"/>
    </xf>
    <xf numFmtId="0" fontId="2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vertical="center" wrapText="1"/>
    </xf>
    <xf numFmtId="0" fontId="12" fillId="15" borderId="0" applyAlignment="1" pivotButton="0" quotePrefix="0" xfId="0">
      <alignment vertical="center" wrapText="1"/>
    </xf>
    <xf numFmtId="0" fontId="5" fillId="8" borderId="0" applyAlignment="1" pivotButton="0" quotePrefix="0" xfId="0">
      <alignment vertical="center" wrapText="1"/>
    </xf>
    <xf numFmtId="0" fontId="5" fillId="12" borderId="0" applyAlignment="1" pivotButton="0" quotePrefix="0" xfId="0">
      <alignment vertical="center" wrapText="1"/>
    </xf>
    <xf numFmtId="0" fontId="5" fillId="5" borderId="0" applyAlignment="1" pivotButton="0" quotePrefix="0" xfId="0">
      <alignment vertical="center" wrapText="1"/>
    </xf>
    <xf numFmtId="0" fontId="5" fillId="7" borderId="0" applyAlignment="1" pivotButton="0" quotePrefix="0" xfId="0">
      <alignment vertical="center" wrapText="1"/>
    </xf>
    <xf numFmtId="0" fontId="12" fillId="16" borderId="2" applyAlignment="1" pivotButton="0" quotePrefix="0" xfId="0">
      <alignment horizontal="left" vertical="center" wrapText="1"/>
    </xf>
    <xf numFmtId="0" fontId="11" fillId="12" borderId="2" applyAlignment="1" pivotButton="0" quotePrefix="0" xfId="0">
      <alignment horizontal="left" vertical="center" wrapText="1"/>
    </xf>
    <xf numFmtId="0" fontId="5" fillId="11" borderId="2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8" fillId="8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10" fillId="10" borderId="2" applyAlignment="1" pivotButton="0" quotePrefix="0" xfId="0">
      <alignment horizontal="center" vertical="center" wrapText="1"/>
    </xf>
    <xf numFmtId="0" fontId="11" fillId="8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 wrapText="1"/>
    </xf>
    <xf numFmtId="0" fontId="5" fillId="11" borderId="2" applyAlignment="1" pivotButton="0" quotePrefix="0" xfId="0">
      <alignment horizontal="center" vertical="center" wrapText="1"/>
    </xf>
    <xf numFmtId="0" fontId="5" fillId="12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5" fillId="13" borderId="2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/>
    </xf>
    <xf numFmtId="0" fontId="11" fillId="7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4" borderId="2" applyAlignment="1" pivotButton="0" quotePrefix="0" xfId="0">
      <alignment horizontal="center" vertical="center" wrapText="1"/>
    </xf>
    <xf numFmtId="0" fontId="11" fillId="10" borderId="2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3" fillId="17" borderId="2" applyAlignment="1" pivotButton="0" quotePrefix="0" xfId="0">
      <alignment horizontal="center" vertical="center"/>
    </xf>
    <xf numFmtId="0" fontId="5" fillId="17" borderId="2" applyAlignment="1" pivotButton="0" quotePrefix="0" xfId="0">
      <alignment horizontal="center" vertical="center" wrapText="1"/>
    </xf>
    <xf numFmtId="0" fontId="21" fillId="0" borderId="0" pivotButton="0" quotePrefix="0" xfId="0"/>
    <xf numFmtId="0" fontId="22" fillId="18" borderId="1" applyAlignment="1" pivotButton="0" quotePrefix="0" xfId="0">
      <alignment horizontal="center" vertical="center"/>
    </xf>
    <xf numFmtId="167" fontId="5" fillId="17" borderId="1" applyAlignment="1" pivotButton="0" quotePrefix="0" xfId="0">
      <alignment horizontal="center" vertical="center"/>
    </xf>
    <xf numFmtId="164" fontId="5" fillId="17" borderId="1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7" fillId="17" borderId="1" applyAlignment="1" pivotButton="0" quotePrefix="0" xfId="0">
      <alignment horizontal="center" vertical="center"/>
    </xf>
    <xf numFmtId="2" fontId="5" fillId="17" borderId="1" applyAlignment="1" pivotButton="0" quotePrefix="0" xfId="0">
      <alignment horizontal="center" vertical="center"/>
    </xf>
    <xf numFmtId="0" fontId="23" fillId="21" borderId="0" pivotButton="0" quotePrefix="0" xfId="0"/>
    <xf numFmtId="0" fontId="23" fillId="22" borderId="0" pivotButton="0" quotePrefix="0" xfId="0"/>
    <xf numFmtId="0" fontId="23" fillId="23" borderId="12" applyAlignment="1" pivotButton="0" quotePrefix="0" xfId="0">
      <alignment horizontal="left" vertical="center"/>
    </xf>
    <xf numFmtId="0" fontId="0" fillId="0" borderId="15" pivotButton="0" quotePrefix="0" xfId="0"/>
    <xf numFmtId="0" fontId="0" fillId="0" borderId="16" pivotButton="0" quotePrefix="0" xfId="0"/>
    <xf numFmtId="0" fontId="22" fillId="18" borderId="0" pivotButton="0" quotePrefix="0" xfId="0"/>
    <xf numFmtId="0" fontId="0" fillId="20" borderId="0" pivotButton="0" quotePrefix="0" xfId="0"/>
    <xf numFmtId="0" fontId="0" fillId="0" borderId="0" applyAlignment="1" pivotButton="0" quotePrefix="0" xfId="0">
      <alignment vertical="top" wrapText="1"/>
    </xf>
    <xf numFmtId="0" fontId="23" fillId="24" borderId="12" applyAlignment="1" pivotButton="0" quotePrefix="0" xfId="0">
      <alignment horizontal="left" vertical="center"/>
    </xf>
    <xf numFmtId="0" fontId="22" fillId="18" borderId="0" applyAlignment="1" pivotButton="0" quotePrefix="0" xfId="0">
      <alignment wrapText="1"/>
    </xf>
    <xf numFmtId="0" fontId="23" fillId="25" borderId="12" applyAlignment="1" pivotButton="0" quotePrefix="0" xfId="0">
      <alignment horizontal="left" vertical="center"/>
    </xf>
    <xf numFmtId="0" fontId="23" fillId="24" borderId="12" applyAlignment="1" pivotButton="0" quotePrefix="0" xfId="0">
      <alignment vertical="top" wrapText="1"/>
    </xf>
    <xf numFmtId="0" fontId="23" fillId="23" borderId="12" pivotButton="0" quotePrefix="0" xfId="0"/>
    <xf numFmtId="0" fontId="23" fillId="25" borderId="0" pivotButton="0" quotePrefix="0" xfId="0"/>
    <xf numFmtId="0" fontId="0" fillId="0" borderId="12" pivotButton="0" quotePrefix="0" xfId="0"/>
    <xf numFmtId="0" fontId="23" fillId="23" borderId="12" applyAlignment="1" pivotButton="0" quotePrefix="0" xfId="0">
      <alignment horizontal="center" vertical="center" wrapText="1"/>
    </xf>
    <xf numFmtId="0" fontId="21" fillId="19" borderId="12" pivotButton="0" quotePrefix="0" xfId="0"/>
    <xf numFmtId="0" fontId="0" fillId="17" borderId="0" pivotButton="0" quotePrefix="0" xfId="0"/>
    <xf numFmtId="0" fontId="0" fillId="17" borderId="12" pivotButton="0" quotePrefix="0" xfId="0"/>
    <xf numFmtId="0" fontId="21" fillId="0" borderId="1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A7517"/>
      <rgbColor rgb="FF800080"/>
      <rgbColor rgb="FF008080"/>
      <rgbColor rgb="FFCCCCCC"/>
      <rgbColor rgb="FF808080"/>
      <rgbColor rgb="FF9999FF"/>
      <rgbColor rgb="FF993366"/>
      <rgbColor rgb="FFFFF2CC"/>
      <rgbColor rgb="FFDCE6F1"/>
      <rgbColor rgb="FF660066"/>
      <rgbColor rgb="FFFF8080"/>
      <rgbColor rgb="FF0070C0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5DCAA5"/>
      <rgbColor rgb="FF99CC00"/>
      <rgbColor rgb="FFFFCC00"/>
      <rgbColor rgb="FFFF9900"/>
      <rgbColor rgb="FFED7D31"/>
      <rgbColor rgb="FF595959"/>
      <rgbColor rgb="FF969696"/>
      <rgbColor rgb="FF1F3864"/>
      <rgbColor rgb="FF00B050"/>
      <rgbColor rgb="FF003300"/>
      <rgbColor rgb="FF333300"/>
      <rgbColor rgb="FF7B2D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topLeftCell="A12" zoomScaleNormal="100" workbookViewId="0">
      <selection activeCell="A22" sqref="A22"/>
    </sheetView>
  </sheetViews>
  <sheetFormatPr baseColWidth="8" defaultColWidth="8.7109375" defaultRowHeight="15"/>
  <cols>
    <col width="36.85546875" bestFit="1" customWidth="1" style="36" min="1" max="1"/>
    <col width="43.42578125" bestFit="1" customWidth="1" style="36" min="2" max="2"/>
    <col width="6.5703125" bestFit="1" customWidth="1" style="36" min="3" max="3"/>
    <col width="49.140625" bestFit="1" customWidth="1" style="36" min="4" max="4"/>
    <col width="40.140625" bestFit="1" customWidth="1" style="36" min="5" max="5"/>
    <col width="8.7109375" customWidth="1" style="36" min="6" max="16384"/>
  </cols>
  <sheetData>
    <row r="1" ht="21.75" customHeight="1">
      <c r="B1" s="9" t="inlineStr">
        <is>
          <t>FIORA IC — Planilha de Setup CFD/STAR-CCM+  |  v4.0  (18/Mai/2026)</t>
        </is>
      </c>
    </row>
    <row r="2" ht="18" customHeight="1">
      <c r="B2" s="8" t="inlineStr">
        <is>
          <t>ABA 1 — GEOMETRIA DO REATOR</t>
        </is>
      </c>
    </row>
    <row r="4" ht="15" customHeight="1">
      <c r="B4" s="7" t="inlineStr">
        <is>
          <t>PARÂMETROS DE ENTRADA (Inputs — azul = editável)</t>
        </is>
      </c>
      <c r="C4" s="77" t="n"/>
      <c r="D4" s="77" t="n"/>
      <c r="E4" s="78" t="n"/>
    </row>
    <row r="5" ht="15" customHeight="1">
      <c r="B5" s="37" t="inlineStr">
        <is>
          <t>Volume útil do reator (V)</t>
        </is>
      </c>
      <c r="C5" s="10" t="n">
        <v>50</v>
      </c>
      <c r="D5" s="38" t="inlineStr">
        <is>
          <t>m³</t>
        </is>
      </c>
      <c r="E5" s="38" t="inlineStr">
        <is>
          <t>Proposta contratual</t>
        </is>
      </c>
    </row>
    <row r="6" ht="15" customHeight="1">
      <c r="B6" s="37" t="inlineStr">
        <is>
          <t>Relação H/D</t>
        </is>
      </c>
      <c r="C6" s="10" t="n">
        <v>7</v>
      </c>
      <c r="D6" s="38" t="inlineStr">
        <is>
          <t>—</t>
        </is>
      </c>
      <c r="E6" s="38" t="inlineStr">
        <is>
          <t>Stage 1 / Stage 2</t>
        </is>
      </c>
    </row>
    <row r="7" ht="15" customHeight="1">
      <c r="B7" s="37" t="inlineStr">
        <is>
          <t>Diâmetro interno de referência (D_ref)</t>
        </is>
      </c>
      <c r="C7" s="10" t="n">
        <v>2.09</v>
      </c>
      <c r="D7" s="38" t="inlineStr">
        <is>
          <t>m</t>
        </is>
      </c>
      <c r="E7" s="38" t="inlineStr">
        <is>
          <t>Stage 1 — verificar via cálculo</t>
        </is>
      </c>
    </row>
    <row r="8" ht="15" customHeight="1">
      <c r="B8" s="37" t="inlineStr">
        <is>
          <t>Altura útil de referência (H_ref)</t>
        </is>
      </c>
      <c r="C8" s="10" t="n">
        <v>14.6</v>
      </c>
      <c r="D8" s="38" t="inlineStr">
        <is>
          <t>m</t>
        </is>
      </c>
      <c r="E8" s="38" t="inlineStr">
        <is>
          <t>Stage 1 — verificar via cálculo</t>
        </is>
      </c>
    </row>
    <row r="9" ht="15" customHeight="1">
      <c r="B9" s="38" t="n"/>
      <c r="C9" s="38" t="n"/>
      <c r="D9" s="38" t="n"/>
      <c r="E9" s="38" t="n"/>
    </row>
    <row r="10" ht="15" customHeight="1">
      <c r="B10" s="6" t="inlineStr">
        <is>
          <t>CÁLCULOS DE GEOMETRIA (verde = calculado)</t>
        </is>
      </c>
      <c r="C10" s="77" t="n"/>
      <c r="D10" s="77" t="n"/>
      <c r="E10" s="78" t="n"/>
    </row>
    <row r="11" ht="15" customHeight="1">
      <c r="B11" s="37" t="inlineStr">
        <is>
          <t>Diâmetro interno calculado   D = (4V / π·HD)^(1/3)</t>
        </is>
      </c>
      <c r="C11" s="11">
        <f>(4*C5/(PI()*C6))^(1/3)</f>
        <v/>
      </c>
      <c r="D11" s="39" t="inlineStr">
        <is>
          <t>m</t>
        </is>
      </c>
      <c r="E11" s="40" t="inlineStr">
        <is>
          <t>De V e H/D</t>
        </is>
      </c>
    </row>
    <row r="12" ht="15" customHeight="1">
      <c r="B12" s="37" t="inlineStr">
        <is>
          <t>Altura útil calculada   H = D × (H/D)</t>
        </is>
      </c>
      <c r="C12" s="11">
        <f>C11*C6</f>
        <v/>
      </c>
      <c r="D12" s="39" t="inlineStr">
        <is>
          <t>m</t>
        </is>
      </c>
      <c r="E12" s="38" t="n"/>
    </row>
    <row r="13" ht="15" customHeight="1">
      <c r="B13" s="37" t="inlineStr">
        <is>
          <t>Área da seção transversal   A = π·D²/4</t>
        </is>
      </c>
      <c r="C13" s="11">
        <f>PI()*C11^2/4</f>
        <v/>
      </c>
      <c r="D13" s="39" t="inlineStr">
        <is>
          <t>m²</t>
        </is>
      </c>
      <c r="E13" s="38" t="n"/>
    </row>
    <row r="14" ht="15" customHeight="1">
      <c r="B14" s="37" t="inlineStr">
        <is>
          <t>Volume calculado verificação   V_calc = A × H</t>
        </is>
      </c>
      <c r="C14" s="12">
        <f>C13*C12</f>
        <v/>
      </c>
      <c r="D14" s="39" t="inlineStr">
        <is>
          <t>m³</t>
        </is>
      </c>
      <c r="E14" s="40" t="inlineStr">
        <is>
          <t>Deve ≈ C5</t>
        </is>
      </c>
    </row>
    <row r="15" ht="15" customHeight="1">
      <c r="B15" s="37" t="inlineStr">
        <is>
          <t>Desvio D_calc vs D_ref</t>
        </is>
      </c>
      <c r="C15" s="12">
        <f>(C11-C7)/C7*100</f>
        <v/>
      </c>
      <c r="D15" s="39" t="inlineStr">
        <is>
          <t>%</t>
        </is>
      </c>
      <c r="E15" s="40" t="inlineStr">
        <is>
          <t>Aceitável &lt; 5%</t>
        </is>
      </c>
    </row>
    <row r="16" ht="15" customHeight="1">
      <c r="B16" s="37" t="inlineStr">
        <is>
          <t>Desvio H_calc vs H_ref</t>
        </is>
      </c>
      <c r="C16" s="12">
        <f>(C12-C8)/C8*100</f>
        <v/>
      </c>
      <c r="D16" s="39" t="inlineStr">
        <is>
          <t>%</t>
        </is>
      </c>
      <c r="E16" s="40" t="inlineStr">
        <is>
          <t>Aceitável &lt; 5%</t>
        </is>
      </c>
    </row>
    <row r="17" ht="15" customHeight="1">
      <c r="B17" s="38" t="n"/>
      <c r="C17" s="38" t="n"/>
      <c r="D17" s="38" t="n"/>
      <c r="E17" s="38" t="n"/>
    </row>
    <row r="18" ht="15" customHeight="1">
      <c r="B18" s="7" t="inlineStr">
        <is>
          <t>POSIÇÃO DOS SEPARADORES INTERNOS</t>
        </is>
      </c>
      <c r="C18" s="77" t="n"/>
      <c r="D18" s="77" t="n"/>
      <c r="E18" s="78" t="n"/>
    </row>
    <row r="19" ht="15" customHeight="1">
      <c r="B19" s="37" t="inlineStr">
        <is>
          <t>Nível inferior (20% da H útil)</t>
        </is>
      </c>
      <c r="C19" s="11">
        <f>C12*0.2</f>
        <v/>
      </c>
      <c r="D19" s="39" t="inlineStr">
        <is>
          <t>m</t>
        </is>
      </c>
      <c r="E19" s="40" t="inlineStr">
        <is>
          <t>A partir da base</t>
        </is>
      </c>
    </row>
    <row r="20" ht="15" customHeight="1">
      <c r="B20" s="37" t="inlineStr">
        <is>
          <t>Nível intermediário (40% da H útil)</t>
        </is>
      </c>
      <c r="C20" s="11">
        <f>C12*0.4</f>
        <v/>
      </c>
      <c r="D20" s="39" t="inlineStr">
        <is>
          <t>m</t>
        </is>
      </c>
      <c r="E20" s="38" t="n"/>
    </row>
    <row r="21" ht="15" customHeight="1">
      <c r="B21" s="37" t="inlineStr">
        <is>
          <t>Nível superior (60% da H útil)</t>
        </is>
      </c>
      <c r="C21" s="11">
        <f>C12*0.6</f>
        <v/>
      </c>
      <c r="D21" s="39" t="inlineStr">
        <is>
          <t>m</t>
        </is>
      </c>
      <c r="E21" s="38" t="n"/>
    </row>
    <row r="22" ht="15" customHeight="1">
      <c r="B22" s="37" t="inlineStr">
        <is>
          <t>Ângulo sep. inferior (faixa ref.)</t>
        </is>
      </c>
      <c r="C22" s="10" t="n">
        <v>47.5</v>
      </c>
      <c r="D22" s="38" t="inlineStr">
        <is>
          <t>°</t>
        </is>
      </c>
      <c r="E22" s="38" t="inlineStr">
        <is>
          <t>Faixa 45–50°</t>
        </is>
      </c>
    </row>
    <row r="23" ht="15" customHeight="1">
      <c r="B23" s="37" t="inlineStr">
        <is>
          <t>Ângulo sep. intermediário (faixa ref.)</t>
        </is>
      </c>
      <c r="C23" s="10" t="n">
        <v>52.5</v>
      </c>
      <c r="D23" s="38" t="inlineStr">
        <is>
          <t>°</t>
        </is>
      </c>
      <c r="E23" s="38" t="inlineStr">
        <is>
          <t>Faixa 50–55°</t>
        </is>
      </c>
    </row>
    <row r="24" ht="15" customHeight="1">
      <c r="B24" s="37" t="inlineStr">
        <is>
          <t>Ângulo sep. superior (faixa ref.)</t>
        </is>
      </c>
      <c r="C24" s="10" t="n">
        <v>57.5</v>
      </c>
      <c r="D24" s="38" t="inlineStr">
        <is>
          <t>°</t>
        </is>
      </c>
      <c r="E24" s="38" t="inlineStr">
        <is>
          <t>Faixa 55–60°</t>
        </is>
      </c>
    </row>
    <row r="25" ht="15" customHeight="1">
      <c r="B25" s="38" t="n"/>
      <c r="C25" s="38" t="n"/>
      <c r="D25" s="38" t="n"/>
      <c r="E25" s="38" t="n"/>
    </row>
    <row r="26" ht="15" customHeight="1">
      <c r="B26" s="7" t="inlineStr">
        <is>
          <t>ENTRADAS TANGENCIAIS INFERIORES</t>
        </is>
      </c>
      <c r="C26" s="77" t="n"/>
      <c r="D26" s="77" t="n"/>
      <c r="E26" s="78" t="n"/>
    </row>
    <row r="27" ht="15" customHeight="1">
      <c r="B27" s="37" t="inlineStr">
        <is>
          <t>Número de entradas</t>
        </is>
      </c>
      <c r="C27" s="10" t="n">
        <v>6</v>
      </c>
      <c r="D27" s="38" t="inlineStr">
        <is>
          <t>—</t>
        </is>
      </c>
      <c r="E27" s="38" t="inlineStr">
        <is>
          <t>Espaçamento angular 60°</t>
        </is>
      </c>
    </row>
    <row r="28" ht="15" customHeight="1">
      <c r="B28" s="37" t="inlineStr">
        <is>
          <t>Inclinação ascendente</t>
        </is>
      </c>
      <c r="C28" s="41" t="n">
        <v>7</v>
      </c>
      <c r="D28" s="38" t="inlineStr">
        <is>
          <t>°</t>
        </is>
      </c>
      <c r="E28" s="42" t="inlineStr">
        <is>
          <t>★ v2.0: valor exato confirmado Vinícius 16/05</t>
        </is>
      </c>
    </row>
    <row r="29" ht="19.5" customHeight="1">
      <c r="A29" s="43" t="inlineStr">
        <is>
          <t>Ângulo tangencial (com a radial) — bocais</t>
        </is>
      </c>
      <c r="B29" s="44" t="n">
        <v>80</v>
      </c>
      <c r="C29" s="43" t="inlineStr">
        <is>
          <t>°</t>
        </is>
      </c>
      <c r="D29" s="45" t="inlineStr">
        <is>
          <t>Vinícius 16/05 18:04 — valor exato (caso base C0)</t>
        </is>
      </c>
    </row>
    <row r="30" ht="7.5" customHeight="1"/>
    <row r="31" ht="21.75" customHeight="1">
      <c r="A31" s="46" t="inlineStr">
        <is>
          <t>TOPO TOROESFÉRICO CONVEXO E SAÍDAS — ★ ATUALIZADO v2.0</t>
        </is>
      </c>
      <c r="B31" s="79" t="n"/>
      <c r="C31" s="79" t="n"/>
      <c r="D31" s="80" t="n"/>
    </row>
    <row r="32" ht="19.5" customHeight="1">
      <c r="A32" s="43" t="inlineStr">
        <is>
          <t>Tipo de topo</t>
        </is>
      </c>
      <c r="B32" s="47" t="inlineStr">
        <is>
          <t>Toroesférico CONVEXO (domo)</t>
        </is>
      </c>
      <c r="D32" s="47" t="inlineStr">
        <is>
          <t>★ v2.0: CONVEXO, não côncavo — Vinícius 16/05 18:04</t>
        </is>
      </c>
    </row>
    <row r="33" ht="19.5" customHeight="1">
      <c r="A33" s="43" t="inlineStr">
        <is>
          <t>Altura do domo acima do cilindro (D/8)</t>
        </is>
      </c>
      <c r="B33" s="81">
        <f>C7/8</f>
        <v/>
      </c>
      <c r="C33" s="43" t="inlineStr">
        <is>
          <t>m</t>
        </is>
      </c>
      <c r="D33" s="49" t="inlineStr">
        <is>
          <t>★ FIX v3.0: D/8 (era 12,775 — fórmula errada)</t>
        </is>
      </c>
    </row>
    <row r="34" ht="19.5" customHeight="1">
      <c r="A34" s="43" t="inlineStr">
        <is>
          <t>Topo do trecho cilíndrico</t>
        </is>
      </c>
      <c r="B34" s="81">
        <f>C8-C7/8</f>
        <v/>
      </c>
      <c r="C34" s="43" t="inlineStr">
        <is>
          <t>m</t>
        </is>
      </c>
      <c r="D34" s="49" t="inlineStr">
        <is>
          <t>★ FIX v3.0: H − TOP_DEPTH (era 14,6 — era altura total)</t>
        </is>
      </c>
    </row>
    <row r="35" ht="19.5" customHeight="1">
      <c r="A35" s="43" t="inlineStr">
        <is>
          <t>Ápice do domo (ponto mais alto)</t>
        </is>
      </c>
      <c r="B35" s="82">
        <f>C8</f>
        <v/>
      </c>
      <c r="C35" s="43" t="inlineStr">
        <is>
          <t>m</t>
        </is>
      </c>
      <c r="D35" s="49" t="inlineStr">
        <is>
          <t>★ FIX v3.0: =C8 (era =B8, retornava texto)</t>
        </is>
      </c>
    </row>
    <row r="36" ht="19.5" customHeight="1">
      <c r="A36" s="43" t="inlineStr">
        <is>
          <t>Saída biogás central (ápice)</t>
        </is>
      </c>
      <c r="B36" s="50" t="inlineStr">
        <is>
          <t>DN100 central</t>
        </is>
      </c>
      <c r="D36" s="50" t="inlineStr">
        <is>
          <t>Pressure Outlet no STAR-CCM+</t>
        </is>
      </c>
    </row>
    <row r="37" ht="19.5" customHeight="1">
      <c r="A37" s="43" t="inlineStr">
        <is>
          <t>Saída efluente lateral</t>
        </is>
      </c>
      <c r="B37" s="50" t="inlineStr">
        <is>
          <t>DN100, z=14,20m, az=180°</t>
        </is>
      </c>
      <c r="D37" s="50" t="inlineStr">
        <is>
          <t>Pressure Outlet — controla nível</t>
        </is>
      </c>
    </row>
  </sheetData>
  <mergeCells count="7">
    <mergeCell ref="B26:E26"/>
    <mergeCell ref="B18:E18"/>
    <mergeCell ref="B1:E1"/>
    <mergeCell ref="A31:D31"/>
    <mergeCell ref="B4:E4"/>
    <mergeCell ref="B2:E2"/>
    <mergeCell ref="B10:E10"/>
  </mergeCell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topLeftCell="A27" zoomScaleNormal="100" workbookViewId="0">
      <selection activeCell="A9" sqref="A9"/>
    </sheetView>
  </sheetViews>
  <sheetFormatPr baseColWidth="8" defaultColWidth="8.7109375" defaultRowHeight="15"/>
  <cols>
    <col width="31.28515625" bestFit="1" customWidth="1" style="54" min="1" max="1"/>
    <col width="48.7109375" bestFit="1" customWidth="1" style="54" min="2" max="2"/>
    <col width="34.85546875" bestFit="1" customWidth="1" style="54" min="3" max="3"/>
    <col width="53.42578125" bestFit="1" customWidth="1" style="54" min="4" max="4"/>
    <col width="36.28515625" bestFit="1" customWidth="1" style="54" min="5" max="5"/>
    <col width="8.7109375" customWidth="1" style="54" min="6" max="16384"/>
  </cols>
  <sheetData>
    <row r="1" ht="18" customHeight="1">
      <c r="B1" s="8" t="inlineStr">
        <is>
          <t>ABA 2 — VAZÕES E VELOCIDADES (Condições de Contorno)</t>
        </is>
      </c>
    </row>
    <row r="3" ht="15" customHeight="1">
      <c r="B3" s="7" t="inlineStr">
        <is>
          <t>INPUTS DE PROCESSO</t>
        </is>
      </c>
      <c r="C3" s="77" t="n"/>
      <c r="D3" s="77" t="n"/>
      <c r="E3" s="78" t="n"/>
    </row>
    <row r="4" ht="15" customHeight="1">
      <c r="B4" s="37" t="inlineStr">
        <is>
          <t>Vazão afluente (Q_af)</t>
        </is>
      </c>
      <c r="C4" s="10" t="n">
        <v>50</v>
      </c>
      <c r="D4" s="55" t="inlineStr">
        <is>
          <t>m³/d</t>
        </is>
      </c>
      <c r="E4" s="55" t="inlineStr">
        <is>
          <t>Máximo do piloto</t>
        </is>
      </c>
    </row>
    <row r="5" ht="15" customHeight="1">
      <c r="B5" s="37" t="inlineStr">
        <is>
          <t>Fator de recirculação líquida (f_recirc)</t>
        </is>
      </c>
      <c r="C5" s="10" t="n">
        <v>7</v>
      </c>
      <c r="D5" s="55" t="inlineStr">
        <is>
          <t>—</t>
        </is>
      </c>
      <c r="E5" s="55" t="inlineStr">
        <is>
          <t>7× Q_af</t>
        </is>
      </c>
    </row>
    <row r="6" ht="15" customHeight="1">
      <c r="B6" s="37" t="inlineStr">
        <is>
          <t>Densidade do líquido (ρ_L)</t>
        </is>
      </c>
      <c r="C6" s="10" t="n">
        <v>995</v>
      </c>
      <c r="D6" s="55" t="inlineStr">
        <is>
          <t>kg/m³</t>
        </is>
      </c>
      <c r="E6" s="55" t="inlineStr">
        <is>
          <t>Vinhaça ≈ água a 35°C</t>
        </is>
      </c>
    </row>
    <row r="7" ht="15" customHeight="1">
      <c r="B7" s="37" t="inlineStr">
        <is>
          <t>Viscosidade dinâmica do líquido (μ_L)</t>
        </is>
      </c>
      <c r="C7" s="10" t="n">
        <v>0.00072</v>
      </c>
      <c r="D7" s="55" t="inlineStr">
        <is>
          <t>Pa·s</t>
        </is>
      </c>
      <c r="E7" s="55" t="inlineStr">
        <is>
          <t>Água 35°C ≈ 7.2×10⁻⁴</t>
        </is>
      </c>
    </row>
    <row r="8" ht="15" customHeight="1">
      <c r="B8" s="37" t="inlineStr">
        <is>
          <t>N° de entradas tangenciais</t>
        </is>
      </c>
      <c r="C8" s="10" t="n">
        <v>6</v>
      </c>
      <c r="D8" s="55" t="inlineStr">
        <is>
          <t>—</t>
        </is>
      </c>
      <c r="E8" s="55" t="inlineStr">
        <is>
          <t>Ref. Aba 1</t>
        </is>
      </c>
    </row>
    <row r="9" ht="15" customHeight="1">
      <c r="B9" s="37" t="inlineStr">
        <is>
          <t>Área transversal do reator (A_reator) — via Aba 1</t>
        </is>
      </c>
      <c r="C9" s="17">
        <f>'1_Geometria'!C13</f>
        <v/>
      </c>
      <c r="D9" s="55" t="inlineStr">
        <is>
          <t>m²</t>
        </is>
      </c>
      <c r="E9" s="55" t="n"/>
    </row>
    <row r="10" ht="15" customHeight="1">
      <c r="B10" s="55" t="n"/>
      <c r="C10" s="55" t="n"/>
      <c r="D10" s="55" t="n"/>
      <c r="E10" s="55" t="n"/>
    </row>
    <row r="11" ht="15" customHeight="1">
      <c r="B11" s="6" t="inlineStr">
        <is>
          <t>VAZÕES CALCULADAS</t>
        </is>
      </c>
      <c r="C11" s="77" t="n"/>
      <c r="D11" s="77" t="n"/>
      <c r="E11" s="78" t="n"/>
    </row>
    <row r="12" ht="15" customHeight="1">
      <c r="B12" s="37" t="inlineStr">
        <is>
          <t>Recirculação líquida   Q_rec = f × Q_af</t>
        </is>
      </c>
      <c r="C12" s="18">
        <f>C5*C4</f>
        <v/>
      </c>
      <c r="D12" s="56" t="inlineStr">
        <is>
          <t>m³/d</t>
        </is>
      </c>
      <c r="E12" s="55" t="n"/>
    </row>
    <row r="13" ht="15" customHeight="1">
      <c r="B13" s="37" t="inlineStr">
        <is>
          <t>Vazão total inferior   Q_tot = Q_af + Q_rec</t>
        </is>
      </c>
      <c r="C13" s="18">
        <f>C4+C12</f>
        <v/>
      </c>
      <c r="D13" s="56" t="inlineStr">
        <is>
          <t>m³/d</t>
        </is>
      </c>
      <c r="E13" s="55" t="n"/>
    </row>
    <row r="14" ht="15" customHeight="1">
      <c r="B14" s="37" t="inlineStr">
        <is>
          <t>Vazão total inferior em m³/h</t>
        </is>
      </c>
      <c r="C14" s="12">
        <f>C13/24</f>
        <v/>
      </c>
      <c r="D14" s="56" t="inlineStr">
        <is>
          <t>m³/h</t>
        </is>
      </c>
      <c r="E14" s="55" t="n"/>
    </row>
    <row r="15" ht="15" customHeight="1">
      <c r="B15" s="37" t="inlineStr">
        <is>
          <t>Vazão total inferior em m³/s</t>
        </is>
      </c>
      <c r="C15" s="19">
        <f>C13/86400</f>
        <v/>
      </c>
      <c r="D15" s="56" t="inlineStr">
        <is>
          <t>m³/s</t>
        </is>
      </c>
      <c r="E15" s="55" t="n"/>
    </row>
    <row r="16" ht="15" customHeight="1">
      <c r="B16" s="37" t="inlineStr">
        <is>
          <t>Vazão efluente (saída topo)   Q_ef = Q_af</t>
        </is>
      </c>
      <c r="C16" s="19">
        <f>C4/86400</f>
        <v/>
      </c>
      <c r="D16" s="56" t="inlineStr">
        <is>
          <t>m³/s</t>
        </is>
      </c>
      <c r="E16" s="57" t="inlineStr">
        <is>
          <t>Igual a Q_af (regime contínuo)</t>
        </is>
      </c>
    </row>
    <row r="17" ht="15" customHeight="1">
      <c r="B17" s="55" t="n"/>
      <c r="C17" s="55" t="n"/>
      <c r="D17" s="55" t="n"/>
      <c r="E17" s="55" t="n"/>
    </row>
    <row r="18" ht="15" customHeight="1">
      <c r="B18" s="6" t="inlineStr">
        <is>
          <t>VELOCIDADES CALCULADAS</t>
        </is>
      </c>
      <c r="C18" s="77" t="n"/>
      <c r="D18" s="77" t="n"/>
      <c r="E18" s="78" t="n"/>
    </row>
    <row r="19" ht="15" customHeight="1">
      <c r="B19" s="37" t="inlineStr">
        <is>
          <t>Vel. ascensional média global (V_up = Q_tot / A)</t>
        </is>
      </c>
      <c r="C19" s="20">
        <f>C15/C9</f>
        <v/>
      </c>
      <c r="D19" s="56" t="inlineStr">
        <is>
          <t>m/s</t>
        </is>
      </c>
      <c r="E19" s="57" t="inlineStr">
        <is>
          <t>Velocidade superficial ascensional</t>
        </is>
      </c>
    </row>
    <row r="20" ht="15" customHeight="1">
      <c r="B20" s="37" t="inlineStr">
        <is>
          <t>V_up em m/h</t>
        </is>
      </c>
      <c r="C20" s="12">
        <f>C19*3600</f>
        <v/>
      </c>
      <c r="D20" s="56" t="inlineStr">
        <is>
          <t>m/h</t>
        </is>
      </c>
      <c r="E20" s="57" t="inlineStr">
        <is>
          <t>Lit.: ≥ 2–8 m/h para IC</t>
        </is>
      </c>
    </row>
    <row r="21" ht="15" customHeight="1">
      <c r="A21" s="83" t="inlineStr">
        <is>
          <t>Diâmetro nominal do bocal (DN80 — Vinícius)</t>
        </is>
      </c>
      <c r="B21" s="84" t="n">
        <v>0.08</v>
      </c>
      <c r="C21" s="55" t="inlineStr">
        <is>
          <t>m</t>
        </is>
      </c>
      <c r="D21" s="55" t="inlineStr">
        <is>
          <t>★ NOVO v3.0: DN80 confirmado — Vinícius 16/05 18:04</t>
        </is>
      </c>
      <c r="E21" s="55" t="n"/>
    </row>
    <row r="22" ht="15" customHeight="1">
      <c r="B22" s="7" t="inlineStr">
        <is>
          <t>ENTRADAS TANGENCIAIS — DIMENSIONAMENTO</t>
        </is>
      </c>
      <c r="C22" s="77" t="n"/>
      <c r="D22" s="77" t="n"/>
      <c r="E22" s="78" t="n"/>
    </row>
    <row r="23" ht="15" customHeight="1">
      <c r="B23" s="37" t="inlineStr">
        <is>
          <t>Área total de entrada sugerida (10% da área transversal)</t>
        </is>
      </c>
      <c r="C23" s="20">
        <f>C9*0.1</f>
        <v/>
      </c>
      <c r="D23" s="56" t="inlineStr">
        <is>
          <t>m²</t>
        </is>
      </c>
      <c r="E23" s="57" t="inlineStr">
        <is>
          <t>Ponto de partida; ajustar no CAD</t>
        </is>
      </c>
    </row>
    <row r="24" ht="15" customHeight="1">
      <c r="B24" s="37" t="inlineStr">
        <is>
          <t>Área por bocal (A_bocal = A_tot / N)</t>
        </is>
      </c>
      <c r="C24" s="19">
        <f>C23/C8</f>
        <v/>
      </c>
      <c r="D24" s="56" t="inlineStr">
        <is>
          <t>m²</t>
        </is>
      </c>
      <c r="E24" s="55" t="n"/>
    </row>
    <row r="25" ht="15" customHeight="1">
      <c r="B25" s="37" t="inlineStr">
        <is>
          <t>Diâmetro equivalente por bocal (d_bocal)</t>
        </is>
      </c>
      <c r="C25" s="85">
        <f>B21</f>
        <v/>
      </c>
      <c r="D25" s="56" t="inlineStr">
        <is>
          <t>m</t>
        </is>
      </c>
      <c r="E25" s="55" t="inlineStr">
        <is>
          <t>★ FIX v3.0: usa DN80 confirmado (não 269 mm calculado de 10% da área)</t>
        </is>
      </c>
    </row>
    <row r="26" ht="15" customHeight="1">
      <c r="B26" s="37" t="inlineStr">
        <is>
          <t>d_bocal em mm</t>
        </is>
      </c>
      <c r="C26" s="18">
        <f>C25*1000</f>
        <v/>
      </c>
      <c r="D26" s="56" t="inlineStr">
        <is>
          <t>mm</t>
        </is>
      </c>
      <c r="E26" s="57" t="inlineStr">
        <is>
          <t>Verificar com croqui do Vinícius</t>
        </is>
      </c>
    </row>
    <row r="27" ht="15" customHeight="1">
      <c r="B27" s="37" t="inlineStr">
        <is>
          <t>Vel. de entrada por bocal (V_bocal = Q_tot/s / A_tot)</t>
        </is>
      </c>
      <c r="C27" s="86">
        <f>C15/C8/(PI()*(B21/2)^2)</f>
        <v/>
      </c>
      <c r="D27" s="56" t="inlineStr">
        <is>
          <t>m/s</t>
        </is>
      </c>
      <c r="E27" s="55" t="inlineStr">
        <is>
          <t>★ FIX v3.0: Q_por_bocal/A_DN80 (era Q_total/A_total → 11× menor)</t>
        </is>
      </c>
    </row>
    <row r="28" ht="15" customHeight="1">
      <c r="B28" s="37" t="inlineStr">
        <is>
          <t>Número de Reynolds do bocal</t>
        </is>
      </c>
      <c r="C28" s="21">
        <f>C6*C27*C25/C7</f>
        <v/>
      </c>
      <c r="D28" s="56" t="inlineStr">
        <is>
          <t>—</t>
        </is>
      </c>
      <c r="E28" s="57" t="inlineStr">
        <is>
          <t>★ Auto-atualizado: agora ~17.020 (era 5.038)</t>
        </is>
      </c>
    </row>
    <row r="29" ht="15" customHeight="1">
      <c r="B29" s="55" t="n"/>
      <c r="C29" s="55" t="n"/>
      <c r="D29" s="55" t="n"/>
      <c r="E29" s="55" t="n"/>
    </row>
    <row r="30" ht="15" customHeight="1">
      <c r="B30" s="6" t="inlineStr">
        <is>
          <t>NÚMERO DE REYNOLDS GLOBAL (corpo do reator)</t>
        </is>
      </c>
      <c r="C30" s="77" t="n"/>
      <c r="D30" s="77" t="n"/>
      <c r="E30" s="78" t="n"/>
    </row>
    <row r="31" ht="15" customHeight="1">
      <c r="B31" s="37" t="inlineStr">
        <is>
          <t>Re_global = ρ·V_up·D / μ</t>
        </is>
      </c>
      <c r="C31" s="21">
        <f>C6*C19*('1_Geometria'!C11)/C7</f>
        <v/>
      </c>
      <c r="D31" s="56" t="inlineStr">
        <is>
          <t>—</t>
        </is>
      </c>
      <c r="E31" s="57" t="inlineStr">
        <is>
          <t>Re &gt; 4000 → turbulento; justifica modelo k-ε</t>
        </is>
      </c>
    </row>
    <row r="32" ht="15" customHeight="1">
      <c r="B32" s="37" t="inlineStr">
        <is>
          <t>Regime de escoamento</t>
        </is>
      </c>
      <c r="C32" s="58">
        <f>IF(C31&gt;4000,"TURBULENTO (k-ε válido)",IF(C31&gt;2300,"TRANSITÓRIO","LAMINAR"))</f>
        <v/>
      </c>
      <c r="D32" s="55" t="n"/>
      <c r="E32" s="55" t="n"/>
    </row>
    <row r="33" ht="7.5" customHeight="1"/>
    <row r="34" ht="21.75" customHeight="1">
      <c r="A34" s="46" t="inlineStr">
        <is>
          <t>DIFUSORES DE MICROBOLHAS — ★ NOVO v2.0 (12× DN250 no FUNDO)</t>
        </is>
      </c>
      <c r="B34" s="79" t="n"/>
      <c r="C34" s="79" t="n"/>
      <c r="D34" s="80" t="n"/>
    </row>
    <row r="35" ht="19.5" customHeight="1">
      <c r="A35" s="43" t="inlineStr">
        <is>
          <t>Quantidade de difusores</t>
        </is>
      </c>
      <c r="B35" s="47" t="inlineStr">
        <is>
          <t>12</t>
        </is>
      </c>
      <c r="C35" s="43" t="inlineStr">
        <is>
          <t>—</t>
        </is>
      </c>
      <c r="D35" s="47" t="inlineStr">
        <is>
          <t>★ 12 × DN250 — Vinícius 16/05 16:50 (NÃO 4×DN60 parede)</t>
        </is>
      </c>
    </row>
    <row r="36" ht="19.5" customHeight="1">
      <c r="A36" s="43" t="inlineStr">
        <is>
          <t>Diâmetro de cada difusor</t>
        </is>
      </c>
      <c r="B36" s="50" t="inlineStr">
        <is>
          <t>0.250</t>
        </is>
      </c>
      <c r="C36" s="43" t="inlineStr">
        <is>
          <t>m</t>
        </is>
      </c>
      <c r="D36" s="51" t="inlineStr">
        <is>
          <t>DN250 — confirmado Vinícius 16/05 16:50</t>
        </is>
      </c>
    </row>
    <row r="37" ht="19.5" customHeight="1">
      <c r="A37" s="43" t="inlineStr">
        <is>
          <t>Localização</t>
        </is>
      </c>
      <c r="B37" s="47" t="inlineStr">
        <is>
          <t>Fundo do reator (não parede lateral)</t>
        </is>
      </c>
      <c r="C37" s="43" t="n"/>
      <c r="D37" s="47" t="inlineStr">
        <is>
          <t>★ v2.0: FUNDO entre os bocais</t>
        </is>
      </c>
    </row>
    <row r="38" ht="19.5" customHeight="1">
      <c r="A38" s="43" t="inlineStr">
        <is>
          <t>Disposição</t>
        </is>
      </c>
      <c r="B38" s="50" t="inlineStr">
        <is>
          <t>6 setores × 2 difusores (az: 30,90,150,210,270,330°)</t>
        </is>
      </c>
      <c r="C38" s="43" t="n"/>
      <c r="D38" s="51" t="inlineStr">
        <is>
          <t>r_int=0,35m / r_ext=0,80m</t>
        </is>
      </c>
    </row>
    <row r="39" ht="19.5" customHeight="1">
      <c r="A39" s="43" t="inlineStr">
        <is>
          <t>Fração recirculada de biogás</t>
        </is>
      </c>
      <c r="B39" s="52" t="inlineStr">
        <is>
          <t>0.40</t>
        </is>
      </c>
      <c r="C39" s="43" t="inlineStr">
        <is>
          <t>—</t>
        </is>
      </c>
      <c r="D39" s="51" t="inlineStr">
        <is>
          <t>40% — confirmado Vinícius</t>
        </is>
      </c>
    </row>
    <row r="40" ht="19.5" customHeight="1">
      <c r="A40" s="43" t="inlineStr">
        <is>
          <t>Composição gás recirculado</t>
        </is>
      </c>
      <c r="B40" s="47" t="inlineStr">
        <is>
          <t>CH₄ 65% / CO₂ 34% / H₂S 1% / H₂ traço</t>
        </is>
      </c>
      <c r="C40" s="43" t="n"/>
      <c r="D40" s="47" t="inlineStr">
        <is>
          <t>★ v2.0 — Vinícius 16/05 18:04</t>
        </is>
      </c>
    </row>
    <row r="41" ht="19.5" customHeight="1">
      <c r="A41" s="43" t="inlineStr">
        <is>
          <t>Diâmetro das bolhas geradas (CFD)</t>
        </is>
      </c>
      <c r="B41" s="50" t="inlineStr">
        <is>
          <t>0.002</t>
        </is>
      </c>
      <c r="C41" s="43" t="inlineStr">
        <is>
          <t>m</t>
        </is>
      </c>
      <c r="D41" s="51" t="inlineStr">
        <is>
          <t>d₃₂ = 2 mm — adotado</t>
        </is>
      </c>
    </row>
    <row r="42" ht="19.5" customHeight="1">
      <c r="A42" s="43" t="inlineStr">
        <is>
          <t>Vazão unitária por difusor</t>
        </is>
      </c>
      <c r="B42" s="50" t="inlineStr">
        <is>
          <t>2–4 Nm³/h</t>
        </is>
      </c>
      <c r="C42" s="43" t="inlineStr">
        <is>
          <t>Nm³/h</t>
        </is>
      </c>
      <c r="D42" s="51" t="inlineStr">
        <is>
          <t>Vinícius 16/05 16:50</t>
        </is>
      </c>
    </row>
    <row r="43" ht="19.5" customHeight="1">
      <c r="A43" s="43" t="inlineStr">
        <is>
          <t>BC no STAR-CCM+</t>
        </is>
      </c>
      <c r="B43" s="50" t="inlineStr">
        <is>
          <t>Mass Flow Inlet</t>
        </is>
      </c>
      <c r="C43" s="43" t="n"/>
      <c r="D43" s="51" t="inlineStr">
        <is>
          <t>12 faces circulares no fundo via Imprint</t>
        </is>
      </c>
    </row>
    <row r="45" ht="21.75" customHeight="1">
      <c r="A45" s="46" t="inlineStr">
        <is>
          <t>SAÍDAS (OUTLETS) — ★ ATUALIZADO v2.0 — 6 tipos de BC</t>
        </is>
      </c>
      <c r="B45" s="79" t="n"/>
      <c r="C45" s="79" t="n"/>
      <c r="D45" s="80" t="n"/>
    </row>
    <row r="46" ht="19.5" customHeight="1">
      <c r="A46" s="43" t="inlineStr">
        <is>
          <t>Saída biogás — central topo</t>
        </is>
      </c>
      <c r="B46" s="53" t="inlineStr">
        <is>
          <t>Pressure Outlet</t>
        </is>
      </c>
      <c r="C46" s="50" t="inlineStr">
        <is>
          <t>DN100 central, ápice domo z=14,6m</t>
        </is>
      </c>
      <c r="D46" s="50" t="inlineStr">
        <is>
          <t>P_rel=0</t>
        </is>
      </c>
    </row>
    <row r="47" ht="19.5" customHeight="1">
      <c r="A47" s="43" t="inlineStr">
        <is>
          <t>Saída efluente — lateral</t>
        </is>
      </c>
      <c r="B47" s="53" t="inlineStr">
        <is>
          <t>Pressure Outlet</t>
        </is>
      </c>
      <c r="C47" s="50" t="inlineStr">
        <is>
          <t>DN100 lateral, z=14,20m, az=180°</t>
        </is>
      </c>
      <c r="D47" s="50" t="inlineStr">
        <is>
          <t>P_rel=0</t>
        </is>
      </c>
    </row>
    <row r="48" ht="19.5" customHeight="1">
      <c r="A48" s="43" t="inlineStr">
        <is>
          <t>Saídas separadores — 3×DN50  ★ v4.0</t>
        </is>
      </c>
      <c r="B48" s="53" t="inlineStr">
        <is>
          <t>Pressure Outlet</t>
        </is>
      </c>
      <c r="C48" s="82" t="inlineStr">
        <is>
          <t>az=0°; z=2,92/5,84/8,76m  (Sep. 95% sai INTERNO)</t>
        </is>
      </c>
      <c r="D48" s="50" t="inlineStr">
        <is>
          <t>P_rel=0</t>
        </is>
      </c>
    </row>
  </sheetData>
  <mergeCells count="8">
    <mergeCell ref="A45:D45"/>
    <mergeCell ref="B18:E18"/>
    <mergeCell ref="B1:E1"/>
    <mergeCell ref="A34:D34"/>
    <mergeCell ref="B30:E30"/>
    <mergeCell ref="B11:E11"/>
    <mergeCell ref="B3:E3"/>
    <mergeCell ref="B22:E22"/>
  </mergeCell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showGridLines="0" topLeftCell="A30" zoomScaleNormal="100" workbookViewId="0">
      <selection activeCell="A8" sqref="A8"/>
    </sheetView>
  </sheetViews>
  <sheetFormatPr baseColWidth="8" defaultColWidth="8.7109375" defaultRowHeight="15"/>
  <cols>
    <col width="32.42578125" bestFit="1" customWidth="1" style="54" min="1" max="1"/>
    <col width="86" bestFit="1" customWidth="1" style="54" min="2" max="2"/>
    <col width="35.7109375" bestFit="1" customWidth="1" style="54" min="3" max="3"/>
    <col width="42.85546875" bestFit="1" customWidth="1" style="54" min="4" max="4"/>
    <col width="41.140625" bestFit="1" customWidth="1" style="54" min="5" max="5"/>
    <col width="8.7109375" customWidth="1" style="54" min="6" max="16384"/>
  </cols>
  <sheetData>
    <row r="1" ht="18" customHeight="1">
      <c r="B1" s="8" t="inlineStr">
        <is>
          <t>ABA 3 — PROPRIEDADES DAS FASES (Setup E-E Trifásico)</t>
        </is>
      </c>
    </row>
    <row r="3" ht="15" customHeight="1">
      <c r="B3" s="7" t="inlineStr">
        <is>
          <t>FASE LÍQUIDA (Fase Contínua Primária)</t>
        </is>
      </c>
      <c r="C3" s="77" t="n"/>
      <c r="D3" s="77" t="n"/>
      <c r="E3" s="78" t="n"/>
    </row>
    <row r="4" ht="15" customHeight="1">
      <c r="B4" s="37" t="inlineStr">
        <is>
          <t>Fluido de referência</t>
        </is>
      </c>
      <c r="C4" s="37" t="inlineStr">
        <is>
          <t>Vinhaça / Água (≈ água 35°C)</t>
        </is>
      </c>
      <c r="D4" s="55" t="n"/>
      <c r="E4" s="55" t="n"/>
    </row>
    <row r="5" ht="15" customHeight="1">
      <c r="B5" s="37" t="inlineStr">
        <is>
          <t>Temperatura</t>
        </is>
      </c>
      <c r="C5" s="10" t="n">
        <v>35</v>
      </c>
      <c r="D5" s="55" t="inlineStr">
        <is>
          <t>°C</t>
        </is>
      </c>
      <c r="E5" s="55" t="n"/>
    </row>
    <row r="6" ht="15" customHeight="1">
      <c r="B6" s="37" t="inlineStr">
        <is>
          <t>Densidade (ρ_L)</t>
        </is>
      </c>
      <c r="C6" s="10" t="n">
        <v>995</v>
      </c>
      <c r="D6" s="55" t="inlineStr">
        <is>
          <t>kg/m³</t>
        </is>
      </c>
      <c r="E6" s="55" t="inlineStr">
        <is>
          <t>Água 35°C; vinhaça pode ser 1000–1020</t>
        </is>
      </c>
    </row>
    <row r="7" ht="15" customHeight="1">
      <c r="B7" s="37" t="inlineStr">
        <is>
          <t>Viscosidade dinâmica (μ_L)</t>
        </is>
      </c>
      <c r="C7" s="10" t="n">
        <v>0.00072</v>
      </c>
      <c r="D7" s="55" t="inlineStr">
        <is>
          <t>Pa·s</t>
        </is>
      </c>
      <c r="E7" s="55" t="inlineStr">
        <is>
          <t>Água 35°C</t>
        </is>
      </c>
    </row>
    <row r="8" ht="15" customHeight="1">
      <c r="B8" s="37" t="inlineStr">
        <is>
          <t>Fração volumétrica inicial (α_L)</t>
        </is>
      </c>
      <c r="C8" s="10" t="n">
        <v>0.92</v>
      </c>
      <c r="D8" s="55" t="inlineStr">
        <is>
          <t>—</t>
        </is>
      </c>
      <c r="E8" s="55" t="inlineStr">
        <is>
          <t>1 - alfa_G - alfa_S (estimativa inicial)</t>
        </is>
      </c>
    </row>
    <row r="9" ht="15" customHeight="1">
      <c r="B9" s="55" t="n"/>
      <c r="C9" s="55" t="n"/>
      <c r="D9" s="55" t="n"/>
      <c r="E9" s="55" t="n"/>
    </row>
    <row r="10" ht="15" customHeight="1">
      <c r="B10" s="7" t="inlineStr">
        <is>
          <t>FASE GASOSA (Fase Dispersa — Biogás)</t>
        </is>
      </c>
      <c r="C10" s="77" t="n"/>
      <c r="D10" s="77" t="n"/>
      <c r="E10" s="78" t="n"/>
    </row>
    <row r="11" ht="15" customHeight="1">
      <c r="B11" s="37" t="inlineStr">
        <is>
          <t>Composição adotada (caso base simplificado)</t>
        </is>
      </c>
      <c r="C11" s="41" t="inlineStr">
        <is>
          <t>CH₄ 65% / CO₂ 34% / H₂S 1% / H₂ traço</t>
        </is>
      </c>
      <c r="D11" s="55" t="n"/>
      <c r="E11" s="55" t="n"/>
    </row>
    <row r="12" ht="15" customHeight="1">
      <c r="B12" s="37" t="inlineStr">
        <is>
          <t>Densidade do gás (ρ_G) a 35°C e 1.5 kgf/cm²</t>
        </is>
      </c>
      <c r="C12" s="10" t="n">
        <v>2.5</v>
      </c>
      <c r="D12" s="55" t="inlineStr">
        <is>
          <t>kg/m³</t>
        </is>
      </c>
      <c r="E12" s="55" t="inlineStr">
        <is>
          <t>Estimativa; P≈147 kPa abs, ρ≈2.3–2.8 kg/m³</t>
        </is>
      </c>
    </row>
    <row r="13" ht="15" customHeight="1">
      <c r="B13" s="37" t="inlineStr">
        <is>
          <t>Viscosidade dinâmica gás (μ_G)</t>
        </is>
      </c>
      <c r="C13" s="10" t="n">
        <v>1.2e-05</v>
      </c>
      <c r="D13" s="55" t="inlineStr">
        <is>
          <t>Pa·s</t>
        </is>
      </c>
      <c r="E13" s="55" t="inlineStr">
        <is>
          <t>CH₄/CO₂ aprox.</t>
        </is>
      </c>
    </row>
    <row r="14" ht="15" customHeight="1">
      <c r="B14" s="37" t="inlineStr">
        <is>
          <t>Diâmetro de bolha (d_b)</t>
        </is>
      </c>
      <c r="C14" s="10" t="n">
        <v>0.003</v>
      </c>
      <c r="D14" s="55" t="inlineStr">
        <is>
          <t>m</t>
        </is>
      </c>
      <c r="E14" s="55" t="inlineStr">
        <is>
          <t>3 mm — lit.: 1–5 mm em IC/EGSB</t>
        </is>
      </c>
    </row>
    <row r="15" ht="15" customHeight="1">
      <c r="B15" s="37" t="inlineStr">
        <is>
          <t>Fração volumétrica inicial gás (α_G)</t>
        </is>
      </c>
      <c r="C15" s="10" t="n">
        <v>0.05</v>
      </c>
      <c r="D15" s="55" t="inlineStr">
        <is>
          <t>—</t>
        </is>
      </c>
      <c r="E15" s="55" t="inlineStr">
        <is>
          <t>Estimativa 5%; ajustar pós-convergência</t>
        </is>
      </c>
    </row>
    <row r="16" ht="15" customHeight="1">
      <c r="B16" s="37" t="inlineStr">
        <is>
          <t>Taxa de geração de gás (Q_gas)</t>
        </is>
      </c>
      <c r="C16" s="10" t="n">
        <v>0.05</v>
      </c>
      <c r="D16" s="55" t="inlineStr">
        <is>
          <t>m³/m³·h</t>
        </is>
      </c>
      <c r="E16" s="55" t="inlineStr">
        <is>
          <t>Estimativa exploratória — fonte volumétrica</t>
        </is>
      </c>
    </row>
    <row r="17" ht="15" customHeight="1">
      <c r="B17" s="55" t="n"/>
      <c r="C17" s="55" t="n"/>
      <c r="D17" s="55" t="n"/>
      <c r="E17" s="55" t="n"/>
    </row>
    <row r="18" ht="15" customHeight="1">
      <c r="B18" s="6" t="inlineStr">
        <is>
          <t>VELOCIDADE TERMINAL DE BOLHA (verificação)</t>
        </is>
      </c>
      <c r="C18" s="77" t="n"/>
      <c r="D18" s="77" t="n"/>
      <c r="E18" s="78" t="n"/>
    </row>
    <row r="19" ht="15" customHeight="1">
      <c r="B19" s="37" t="inlineStr">
        <is>
          <t>g (aceleração gravitacional)</t>
        </is>
      </c>
      <c r="C19" s="10" t="n">
        <v>9.81</v>
      </c>
      <c r="D19" s="55" t="inlineStr">
        <is>
          <t>m/s²</t>
        </is>
      </c>
      <c r="E19" s="55" t="n"/>
    </row>
    <row r="20" ht="15" customHeight="1">
      <c r="B20" s="37" t="inlineStr">
        <is>
          <t>Vel. terminal bolha — Stokes V_t = (ρ_L−ρ_G)·g·d_b²/(18·μ_L)   ⚠ TEÓRICO</t>
        </is>
      </c>
      <c r="C20" s="20">
        <f>(C6-C12)*C19*C14^2/(18*C7)</f>
        <v/>
      </c>
      <c r="D20" s="56" t="inlineStr">
        <is>
          <t>m/s</t>
        </is>
      </c>
      <c r="E20" s="87" t="inlineStr">
        <is>
          <t>★ v3.0: STOKES INVÁLIDO para bolhas &gt;0,1mm. Use linhas 21b–21d ↓</t>
        </is>
      </c>
    </row>
    <row r="21" ht="15" customHeight="1">
      <c r="B21" s="37" t="inlineStr">
        <is>
          <t>V_t em m/h</t>
        </is>
      </c>
      <c r="C21" s="12">
        <f>C20*3600</f>
        <v/>
      </c>
      <c r="D21" s="56" t="inlineStr">
        <is>
          <t>m/h</t>
        </is>
      </c>
      <c r="E21" s="57" t="inlineStr">
        <is>
          <t>★ Comparar com V_real ↓</t>
        </is>
      </c>
    </row>
    <row r="22" ht="15" customHeight="1">
      <c r="B22" s="88" t="inlineStr">
        <is>
          <t>Re_bolha (Stokes)  Re = ρ·V_Stokes·d/μ</t>
        </is>
      </c>
      <c r="C22" s="89">
        <f>C6*C20*C14/C7</f>
        <v/>
      </c>
      <c r="D22" s="55" t="inlineStr">
        <is>
          <t>—</t>
        </is>
      </c>
      <c r="E22" s="55" t="inlineStr">
        <is>
          <t>Se Re&gt;&gt;1 → Stokes inválido. Use Schiller-Naumann</t>
        </is>
      </c>
    </row>
    <row r="23" ht="15" customHeight="1">
      <c r="B23" s="7" t="inlineStr">
        <is>
          <t>FASE SÓLIDA — LODO GRANULAR (Fase Granular E-E)</t>
        </is>
      </c>
      <c r="C23" s="77" t="n"/>
      <c r="D23" s="77" t="n"/>
      <c r="E23" s="78" t="n"/>
    </row>
    <row r="24" ht="15" customHeight="1">
      <c r="B24" s="60" t="inlineStr">
        <is>
          <t>⚠  NOTA TÉCNICA: A literatura NÃO registra uso de DEM para reatores de lodo granular</t>
        </is>
      </c>
      <c r="C24" s="55" t="n"/>
      <c r="D24" s="55" t="n"/>
      <c r="E24" s="55" t="n"/>
    </row>
    <row r="25" ht="15" customHeight="1">
      <c r="B25" s="56" t="inlineStr">
        <is>
          <t xml:space="preserve">  → Abordagem correta: Euleriano-Euleriano (E-E) três fases com modelo granular cinético (KTGF)</t>
        </is>
      </c>
      <c r="C25" s="55" t="n"/>
      <c r="D25" s="55" t="n"/>
      <c r="E25" s="55" t="n"/>
    </row>
    <row r="26" ht="15" customHeight="1">
      <c r="B26" s="55" t="n"/>
      <c r="C26" s="55" t="n"/>
      <c r="D26" s="55" t="n"/>
      <c r="E26" s="55" t="n"/>
    </row>
    <row r="27" ht="15" customHeight="1">
      <c r="B27" s="37" t="inlineStr">
        <is>
          <t>Diâmetro médio do grânulo (d_p)</t>
        </is>
      </c>
      <c r="C27" s="10" t="n">
        <v>0.002</v>
      </c>
      <c r="D27" s="55" t="inlineStr">
        <is>
          <t>m</t>
        </is>
      </c>
      <c r="E27" s="55" t="inlineStr">
        <is>
          <t>2 mm — faixa 1–3 mm</t>
        </is>
      </c>
    </row>
    <row r="28" ht="15" customHeight="1">
      <c r="B28" s="37" t="inlineStr">
        <is>
          <t>Densidade do grânulo (ρ_S)</t>
        </is>
      </c>
      <c r="C28" s="41" t="n">
        <v>1460</v>
      </c>
      <c r="D28" s="42" t="inlineStr">
        <is>
          <t>★ v2.0: 1460 kg/m³ (Wang 2009/2010 — EGSB)</t>
        </is>
      </c>
      <c r="E28" s="90" t="inlineStr">
        <is>
          <t>★ v3.0: 1460 = limite superior. Mais comum na lit.: 1.050 (D'Bastiani 2021). Usar como sensibilidade.</t>
        </is>
      </c>
    </row>
    <row r="29" ht="15" customHeight="1">
      <c r="B29" s="37" t="inlineStr">
        <is>
          <t>Fração volumétrica inicial sólidos (α_S)</t>
        </is>
      </c>
      <c r="C29" s="10" t="n">
        <v>0.03</v>
      </c>
      <c r="D29" s="55" t="inlineStr">
        <is>
          <t>—</t>
        </is>
      </c>
      <c r="E29" s="90" t="inlineStr">
        <is>
          <t>★ v3.0: 0,03 = média do reator. NO LEITO (zona inferior) usar α_S=0,35 (Wang 2010)</t>
        </is>
      </c>
    </row>
    <row r="30" ht="15" customHeight="1">
      <c r="B30" s="37" t="inlineStr">
        <is>
          <t>Verificação: α_L + α_G + α_S deve = 1</t>
        </is>
      </c>
      <c r="C30" s="11">
        <f>C8+C15+C29</f>
        <v/>
      </c>
      <c r="D30" s="56" t="inlineStr">
        <is>
          <t>—</t>
        </is>
      </c>
      <c r="E30" s="57" t="inlineStr">
        <is>
          <t>DEVE SER 1.000</t>
        </is>
      </c>
    </row>
    <row r="31" ht="15" customHeight="1">
      <c r="B31" s="37" t="inlineStr">
        <is>
          <t>Vel. sedimentação grânulo — Stokes V_sed = (ρ_S−ρ_L)·g·d_p²/(18·μ_L)  ⚠ TEÓRICO</t>
        </is>
      </c>
      <c r="C31" s="20">
        <f>(C28-C6)*C19*C27^2/(18*C7)</f>
        <v/>
      </c>
      <c r="D31" s="56" t="inlineStr">
        <is>
          <t>m/s</t>
        </is>
      </c>
      <c r="E31" s="90" t="inlineStr">
        <is>
          <t>★ v3.0: STOKES INVÁLIDO para Re&gt;&gt;1 — usar correlação Schiller-Naumann</t>
        </is>
      </c>
    </row>
    <row r="32" ht="15" customHeight="1">
      <c r="B32" s="37" t="inlineStr">
        <is>
          <t>V_sed em m/h</t>
        </is>
      </c>
      <c r="C32" s="12">
        <f>C31*3600</f>
        <v/>
      </c>
      <c r="D32" s="56" t="inlineStr">
        <is>
          <t>m/h</t>
        </is>
      </c>
      <c r="E32" s="57" t="inlineStr">
        <is>
          <t>Lit.: 50–80 m/h; Stokes subestima — referência</t>
        </is>
      </c>
    </row>
    <row r="33" ht="15" customHeight="1">
      <c r="B33" s="37" t="inlineStr">
        <is>
          <t>Restitution coefficient (e_ss) — granular kinetic</t>
        </is>
      </c>
      <c r="C33" s="10" t="n">
        <v>0.9</v>
      </c>
      <c r="D33" s="55" t="inlineStr">
        <is>
          <t>—</t>
        </is>
      </c>
      <c r="E33" s="55" t="inlineStr">
        <is>
          <t>Típico para grânulos biológicos</t>
        </is>
      </c>
    </row>
    <row r="34" ht="15" customHeight="1">
      <c r="B34" s="37" t="inlineStr">
        <is>
          <t>Packing limit (α_S,max)</t>
        </is>
      </c>
      <c r="C34" s="10" t="n">
        <v>0.63</v>
      </c>
      <c r="D34" s="55" t="inlineStr">
        <is>
          <t>—</t>
        </is>
      </c>
      <c r="E34" s="55" t="inlineStr">
        <is>
          <t>Máximo empacotamento esferas</t>
        </is>
      </c>
    </row>
    <row r="35" ht="7.5" customHeight="1"/>
    <row r="36" ht="21.75" customHeight="1">
      <c r="A36" s="46" t="inlineStr">
        <is>
          <t>FASE SÓLIDA 2 — BIOCHAR VEGETAL (E-E Dispersa) — ★ NOVO v2.0</t>
        </is>
      </c>
      <c r="B36" s="79" t="n"/>
      <c r="C36" s="79" t="n"/>
      <c r="D36" s="80" t="n"/>
    </row>
    <row r="37" ht="19.5" customHeight="1">
      <c r="A37" s="43" t="inlineStr">
        <is>
          <t>Material</t>
        </is>
      </c>
      <c r="B37" s="50" t="inlineStr">
        <is>
          <t>Biochar vegetal / carbonáceo poroso</t>
        </is>
      </c>
      <c r="C37" s="43" t="inlineStr">
        <is>
          <t>—</t>
        </is>
      </c>
      <c r="D37" s="43" t="inlineStr">
        <is>
          <t>Vinícius — tabela 15/05</t>
        </is>
      </c>
    </row>
    <row r="38" ht="19.5" customHeight="1">
      <c r="A38" s="43" t="inlineStr">
        <is>
          <t>Diâmetro médio (d50)</t>
        </is>
      </c>
      <c r="B38" s="59" t="inlineStr">
        <is>
          <t>0.003</t>
        </is>
      </c>
      <c r="C38" s="43" t="inlineStr">
        <is>
          <t>m</t>
        </is>
      </c>
      <c r="D38" s="43" t="inlineStr">
        <is>
          <t>3 mm — Vinícius 15/05 (faixa 2–3mm)</t>
        </is>
      </c>
    </row>
    <row r="39" ht="19.5" customHeight="1">
      <c r="A39" s="43" t="inlineStr">
        <is>
          <t>Densidade aparente (ρ_aparente)</t>
        </is>
      </c>
      <c r="B39" s="59" t="inlineStr">
        <is>
          <t>500</t>
        </is>
      </c>
      <c r="C39" s="43" t="inlineStr">
        <is>
          <t>kg/m³</t>
        </is>
      </c>
      <c r="D39" s="43" t="inlineStr">
        <is>
          <t>Vinícius — tabela 15/05</t>
        </is>
      </c>
    </row>
    <row r="40" ht="19.5" customHeight="1">
      <c r="A40" s="43" t="inlineStr">
        <is>
          <t>Densidade real / esquelética</t>
        </is>
      </c>
      <c r="B40" s="59" t="inlineStr">
        <is>
          <t>1500</t>
        </is>
      </c>
      <c r="C40" s="43" t="inlineStr">
        <is>
          <t>kg/m³</t>
        </is>
      </c>
      <c r="D40" s="43" t="inlineStr">
        <is>
          <t>Vinícius — tabela 15/05</t>
        </is>
      </c>
    </row>
    <row r="41" ht="19.5" customHeight="1">
      <c r="A41" s="43" t="inlineStr">
        <is>
          <t>Porosidade interna</t>
        </is>
      </c>
      <c r="B41" s="50" t="inlineStr">
        <is>
          <t>0.65</t>
        </is>
      </c>
      <c r="C41" s="43" t="inlineStr">
        <is>
          <t>—</t>
        </is>
      </c>
      <c r="D41" s="43" t="inlineStr">
        <is>
          <t>60–70% — adotado 65% (Vinícius)</t>
        </is>
      </c>
    </row>
    <row r="42" ht="19.5" customHeight="1">
      <c r="A42" s="43" t="inlineStr">
        <is>
          <t>Esfericidade (φ)</t>
        </is>
      </c>
      <c r="B42" s="50" t="inlineStr">
        <is>
          <t>0.65</t>
        </is>
      </c>
      <c r="C42" s="43" t="inlineStr">
        <is>
          <t>—</t>
        </is>
      </c>
      <c r="D42" s="43" t="inlineStr">
        <is>
          <t>Vinícius — tabela 15/05</t>
        </is>
      </c>
    </row>
    <row r="43" ht="19.5" customHeight="1">
      <c r="A43" s="43" t="inlineStr">
        <is>
          <t>Fração volumétrica inicial (α_biochar)</t>
        </is>
      </c>
      <c r="B43" s="50" t="inlineStr">
        <is>
          <t>0.01</t>
        </is>
      </c>
      <c r="C43" s="43" t="inlineStr">
        <is>
          <t>—</t>
        </is>
      </c>
      <c r="D43" s="43" t="inlineStr">
        <is>
          <t>~1% — Dosagem 5,0 g/L ÷ ρ_aparente</t>
        </is>
      </c>
    </row>
    <row r="44" ht="19.5" customHeight="1">
      <c r="A44" s="43" t="inlineStr">
        <is>
          <t>Concentração equivalente</t>
        </is>
      </c>
      <c r="B44" s="59" t="inlineStr">
        <is>
          <t>5.0</t>
        </is>
      </c>
      <c r="C44" s="43" t="inlineStr">
        <is>
          <t>kg/m³</t>
        </is>
      </c>
      <c r="D44" s="43" t="inlineStr">
        <is>
          <t>5,0 g/L = 5,0 kg/m³ — Vinícius</t>
        </is>
      </c>
    </row>
    <row r="45" ht="19.5" customHeight="1">
      <c r="A45" s="43" t="inlineStr">
        <is>
          <t>Zona de aplicação</t>
        </is>
      </c>
      <c r="B45" s="50" t="inlineStr">
        <is>
          <t>Zona inferior (z=0 a z=2,92m)</t>
        </is>
      </c>
      <c r="C45" s="43" t="n"/>
      <c r="D45" s="43" t="inlineStr">
        <is>
          <t>Abaixo do sep. 20%</t>
        </is>
      </c>
    </row>
    <row r="46" ht="19.5" customHeight="1">
      <c r="A46" s="43" t="inlineStr">
        <is>
          <t>Modelo CFD</t>
        </is>
      </c>
      <c r="B46" s="50" t="inlineStr">
        <is>
          <t>E-E Euleriana-Euleriana + KTGF (Gidaspow)</t>
        </is>
      </c>
      <c r="C46" s="43" t="n"/>
      <c r="D46" s="43" t="inlineStr">
        <is>
          <t>Igual ao lodo granular</t>
        </is>
      </c>
    </row>
    <row r="47" ht="19.5" customHeight="1">
      <c r="A47" s="43" t="inlineStr">
        <is>
          <t>BC no CFD</t>
        </is>
      </c>
      <c r="B47" s="50" t="inlineStr">
        <is>
          <t>NÃO tem geometria CAD — fase dispersa apenas</t>
        </is>
      </c>
      <c r="C47" s="43" t="n"/>
      <c r="D47" s="43" t="inlineStr">
        <is>
          <t>Definir em Physics Continuum</t>
        </is>
      </c>
    </row>
  </sheetData>
  <mergeCells count="6">
    <mergeCell ref="B23:E23"/>
    <mergeCell ref="B18:E18"/>
    <mergeCell ref="B1:E1"/>
    <mergeCell ref="B3:E3"/>
    <mergeCell ref="B10:E10"/>
    <mergeCell ref="A36:D36"/>
  </mergeCells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3"/>
  <sheetViews>
    <sheetView showGridLines="0" topLeftCell="B40" zoomScaleNormal="100" workbookViewId="0">
      <selection activeCell="A4" sqref="A4"/>
    </sheetView>
  </sheetViews>
  <sheetFormatPr baseColWidth="8" defaultColWidth="8.7109375" defaultRowHeight="15"/>
  <cols>
    <col width="16" bestFit="1" customWidth="1" style="54" min="1" max="1"/>
    <col width="89.28515625" bestFit="1" customWidth="1" style="54" min="2" max="2"/>
    <col width="29.85546875" bestFit="1" customWidth="1" style="54" min="3" max="3"/>
    <col width="18" customWidth="1" style="54" min="4" max="4"/>
    <col width="57.85546875" bestFit="1" customWidth="1" style="54" min="5" max="5"/>
    <col width="8.7109375" customWidth="1" style="54" min="6" max="16384"/>
  </cols>
  <sheetData>
    <row r="1" ht="18" customHeight="1">
      <c r="B1" s="8" t="inlineStr">
        <is>
          <t>ABA 4 — TURBULÊNCIA (k-ε Realizável) E CONDIÇÕES DE CONTORNO</t>
        </is>
      </c>
    </row>
    <row r="3" ht="15" customHeight="1">
      <c r="B3" s="4" t="inlineStr">
        <is>
          <t>MODELO DE TURBULÊNCIA RECOMENDADO</t>
        </is>
      </c>
      <c r="C3" s="77" t="n"/>
      <c r="D3" s="77" t="n"/>
      <c r="E3" s="78" t="n"/>
    </row>
    <row r="4" ht="15" customHeight="1">
      <c r="B4" s="66" t="inlineStr">
        <is>
          <t>Modelo: k-ε Realizável (Realizable k-ε) — fase líquida contínua</t>
        </is>
      </c>
      <c r="C4" s="55" t="n"/>
      <c r="D4" s="55" t="n"/>
      <c r="E4" s="55" t="n"/>
    </row>
    <row r="5" ht="15" customHeight="1">
      <c r="B5" s="76" t="inlineStr">
        <is>
          <t>Justificativa: melhor concordância com PIV em reatores cilíndricos (Cisneros et al. 2021; Sindall et al.)</t>
        </is>
      </c>
      <c r="C5" s="55" t="n"/>
      <c r="D5" s="55" t="n"/>
      <c r="E5" s="55" t="n"/>
    </row>
    <row r="6" ht="15" customHeight="1">
      <c r="B6" s="76" t="inlineStr">
        <is>
          <t>Wu (2011): k-ω Std e k-ε Realizável são os mais adequados para mistura em reatores AD</t>
        </is>
      </c>
      <c r="C6" s="55" t="n"/>
      <c r="D6" s="55" t="n"/>
      <c r="E6" s="55" t="n"/>
    </row>
    <row r="7" ht="15" customHeight="1">
      <c r="B7" s="76" t="inlineStr">
        <is>
          <t>Tabela de revisão (D'Bastiani 2023 WR): k-ε Standard/Realizável dominante em UASB/EGSB/IC</t>
        </is>
      </c>
      <c r="C7" s="55" t="n"/>
      <c r="D7" s="55" t="n"/>
      <c r="E7" s="55" t="n"/>
    </row>
    <row r="8" ht="15" customHeight="1">
      <c r="B8" s="55" t="n"/>
      <c r="C8" s="55" t="n"/>
      <c r="D8" s="55" t="n"/>
      <c r="E8" s="55" t="n"/>
    </row>
    <row r="9" ht="15" customHeight="1">
      <c r="B9" s="6" t="inlineStr">
        <is>
          <t>INTENSIDADE TURBULENTA E ESCALA — INLET BC</t>
        </is>
      </c>
      <c r="C9" s="77" t="n"/>
      <c r="D9" s="77" t="n"/>
      <c r="E9" s="78" t="n"/>
    </row>
    <row r="10" ht="15" customHeight="1">
      <c r="B10" s="37" t="inlineStr">
        <is>
          <t>Intensidade turbulenta (I) — tubulações em regime turbulento</t>
        </is>
      </c>
      <c r="C10" s="11">
        <f>0.16*(('2_Vazoes_Velocidades'!C28)^(-1/8))</f>
        <v/>
      </c>
      <c r="D10" s="56" t="inlineStr">
        <is>
          <t>—</t>
        </is>
      </c>
      <c r="E10" s="57" t="inlineStr">
        <is>
          <t>I = 0.16·Re^(−1/8) — correlação padrão</t>
        </is>
      </c>
    </row>
    <row r="11" ht="15" customHeight="1">
      <c r="B11" s="37" t="inlineStr">
        <is>
          <t>I em %</t>
        </is>
      </c>
      <c r="C11" s="18">
        <f>C10*100</f>
        <v/>
      </c>
      <c r="D11" s="56" t="inlineStr">
        <is>
          <t>%</t>
        </is>
      </c>
      <c r="E11" s="55" t="n"/>
    </row>
    <row r="12" ht="15" customHeight="1">
      <c r="B12" s="37" t="inlineStr">
        <is>
          <t>Comprimento de mistura (l = 0.07·d_bocal)</t>
        </is>
      </c>
      <c r="C12" s="20">
        <f>0.07*('3_Fases_Propriedades'!C27*0+('2_Vazoes_Velocidades'!C25))</f>
        <v/>
      </c>
      <c r="D12" s="56" t="inlineStr">
        <is>
          <t>m</t>
        </is>
      </c>
      <c r="E12" s="57" t="inlineStr">
        <is>
          <t>Hidráulico dh = d_bocal</t>
        </is>
      </c>
    </row>
    <row r="13" ht="15" customHeight="1">
      <c r="B13" s="37" t="inlineStr">
        <is>
          <t>Energia cinética turbulenta k_inlet</t>
        </is>
      </c>
      <c r="C13" s="19">
        <f>1.5*('2_Vazoes_Velocidades'!C27*C10)^2</f>
        <v/>
      </c>
      <c r="D13" s="56" t="inlineStr">
        <is>
          <t>m²/s²</t>
        </is>
      </c>
      <c r="E13" s="91" t="inlineStr">
        <is>
          <t>★ Auto-atualizado v3.0: agora ~1,08×10⁻⁴ m²/s² (era 8,3×10⁻⁷)</t>
        </is>
      </c>
    </row>
    <row r="14" ht="15" customHeight="1">
      <c r="B14" s="37" t="inlineStr">
        <is>
          <t>Taxa dissipação turbulenta ε_inlet = Cμ^(3/4)·k^(3/2)/l</t>
        </is>
      </c>
      <c r="C14" s="19">
        <f>0.09^0.75*C13^1.5/C12</f>
        <v/>
      </c>
      <c r="D14" s="56" t="inlineStr">
        <is>
          <t>m²/s³</t>
        </is>
      </c>
      <c r="E14" s="92" t="inlineStr">
        <is>
          <t>★ Auto-atualizado v3.0: agora ~9,7×10⁻⁶ m²/s³ (era 6,6×10⁻⁹)</t>
        </is>
      </c>
    </row>
    <row r="15" ht="15" customHeight="1">
      <c r="B15" s="55" t="n"/>
      <c r="C15" s="55" t="n"/>
      <c r="D15" s="55" t="n"/>
      <c r="E15" s="55" t="n"/>
    </row>
    <row r="16" ht="15" customHeight="1">
      <c r="B16" s="4" t="inlineStr">
        <is>
          <t>CONDIÇÕES DE CONTORNO — RESUMO STAR-CCM+</t>
        </is>
      </c>
      <c r="C16" s="77" t="n"/>
      <c r="D16" s="77" t="n"/>
      <c r="E16" s="78" t="n"/>
    </row>
    <row r="17" ht="15" customHeight="1">
      <c r="B17" s="68" t="inlineStr">
        <is>
          <t>Inlet (6 bocais tangenciais)</t>
        </is>
      </c>
      <c r="C17" s="73" t="inlineStr">
        <is>
          <t>Velocity Inlet</t>
        </is>
      </c>
      <c r="D17" s="70" t="inlineStr">
        <is>
          <t>V_bocal (Aba 2, C27)</t>
        </is>
      </c>
      <c r="E17" s="71" t="inlineStr">
        <is>
          <t>k e ε de Aba 4 C13/C14</t>
        </is>
      </c>
    </row>
    <row r="18" ht="15" customHeight="1">
      <c r="B18" s="68" t="inlineStr">
        <is>
          <t>Outlet (saída topo)</t>
        </is>
      </c>
      <c r="C18" s="73" t="inlineStr">
        <is>
          <t>Pressure Outlet</t>
        </is>
      </c>
      <c r="D18" s="70" t="inlineStr">
        <is>
          <t>P_gage = 0 Pa (ref.)</t>
        </is>
      </c>
      <c r="E18" s="71" t="inlineStr">
        <is>
          <t>Backflow: valores de inlet</t>
        </is>
      </c>
    </row>
    <row r="19" ht="15" customHeight="1">
      <c r="B19" s="68" t="inlineStr">
        <is>
          <t>Parede do reator</t>
        </is>
      </c>
      <c r="C19" s="73" t="inlineStr">
        <is>
          <t>No-Slip Wall</t>
        </is>
      </c>
      <c r="D19" s="70" t="inlineStr">
        <is>
          <t>—</t>
        </is>
      </c>
      <c r="E19" s="71" t="inlineStr">
        <is>
          <t>Wall function (y+ ≈ 30–300 target)</t>
        </is>
      </c>
    </row>
    <row r="20" ht="15" customHeight="1">
      <c r="B20" s="68" t="inlineStr">
        <is>
          <t>Separadores internos</t>
        </is>
      </c>
      <c r="C20" s="73" t="inlineStr">
        <is>
          <t>No-Slip Wall</t>
        </is>
      </c>
      <c r="D20" s="70" t="inlineStr">
        <is>
          <t>—</t>
        </is>
      </c>
      <c r="E20" s="71" t="inlineStr">
        <is>
          <t>Wall function</t>
        </is>
      </c>
    </row>
    <row r="21" ht="15" customHeight="1">
      <c r="B21" s="68" t="inlineStr">
        <is>
          <t>Tubo de retorno central</t>
        </is>
      </c>
      <c r="C21" s="73" t="inlineStr">
        <is>
          <t>Interface / Wall</t>
        </is>
      </c>
      <c r="D21" s="70" t="inlineStr">
        <is>
          <t>—</t>
        </is>
      </c>
      <c r="E21" s="71" t="inlineStr">
        <is>
          <t>Verificar geometria</t>
        </is>
      </c>
    </row>
    <row r="22" ht="15" customHeight="1">
      <c r="B22" s="55" t="n"/>
      <c r="C22" s="55" t="n"/>
      <c r="D22" s="55" t="n"/>
      <c r="E22" s="55" t="n"/>
    </row>
    <row r="23" ht="15" customHeight="1">
      <c r="B23" s="4" t="inlineStr">
        <is>
          <t>CRITÉRIOS DE CONVERGÊNCIA E MALHA</t>
        </is>
      </c>
      <c r="C23" s="77" t="n"/>
      <c r="D23" s="77" t="n"/>
      <c r="E23" s="78" t="n"/>
    </row>
    <row r="24" ht="15" customHeight="1">
      <c r="B24" s="72" t="inlineStr">
        <is>
          <t>Resíduos de continuidade/momento</t>
        </is>
      </c>
      <c r="C24" s="73" t="inlineStr">
        <is>
          <t>&lt; 1×10⁻⁴ (ou 10⁻³ para screening)</t>
        </is>
      </c>
      <c r="D24" s="77" t="n"/>
      <c r="E24" s="78" t="n"/>
    </row>
    <row r="25" ht="15" customHeight="1">
      <c r="B25" s="72" t="inlineStr">
        <is>
          <t>Monitoramento de V_up média</t>
        </is>
      </c>
      <c r="C25" s="73" t="inlineStr">
        <is>
          <t>Variação &lt; 1% em 100 iterações</t>
        </is>
      </c>
      <c r="D25" s="77" t="n"/>
      <c r="E25" s="78" t="n"/>
    </row>
    <row r="26" ht="15" customHeight="1">
      <c r="B26" s="72" t="inlineStr">
        <is>
          <t>Monitoramento de α_G média</t>
        </is>
      </c>
      <c r="C26" s="73" t="inlineStr">
        <is>
          <t>Variação &lt; 2%</t>
        </is>
      </c>
      <c r="D26" s="77" t="n"/>
      <c r="E26" s="78" t="n"/>
    </row>
    <row r="27" ht="15" customHeight="1">
      <c r="B27" s="72" t="inlineStr">
        <is>
          <t>Time step (transiente)</t>
        </is>
      </c>
      <c r="C27" s="73" t="inlineStr">
        <is>
          <t>Δt = 0.01–0.05 s (Pan et al. 2017: Δt=0.02 s)</t>
        </is>
      </c>
      <c r="D27" s="77" t="n"/>
      <c r="E27" s="78" t="n"/>
    </row>
    <row r="28" ht="15" customHeight="1">
      <c r="B28" s="72" t="inlineStr">
        <is>
          <t>Tempo simulado mínimo</t>
        </is>
      </c>
      <c r="C28" s="73" t="inlineStr">
        <is>
          <t>≥ 5 × TRH hidráulico do reator</t>
        </is>
      </c>
      <c r="D28" s="77" t="n"/>
      <c r="E28" s="78" t="n"/>
    </row>
    <row r="29" ht="15" customHeight="1">
      <c r="B29" s="72" t="inlineStr">
        <is>
          <t>TRH do reator</t>
        </is>
      </c>
      <c r="C29" s="74">
        <f>'1_Geometria'!C5/('2_Vazoes_Velocidades'!C4/24)</f>
        <v/>
      </c>
      <c r="D29" s="77" t="n"/>
      <c r="E29" s="78" t="n"/>
    </row>
    <row r="30" ht="15" customHeight="1">
      <c r="B30" s="72" t="inlineStr">
        <is>
          <t>Target y+ (paredes)</t>
        </is>
      </c>
      <c r="C30" s="73" t="inlineStr">
        <is>
          <t>30–300 (k-ε Wall Function padrão)</t>
        </is>
      </c>
      <c r="D30" s="77" t="n"/>
      <c r="E30" s="78" t="n"/>
    </row>
    <row r="31" ht="15" customHeight="1">
      <c r="B31" s="72" t="inlineStr">
        <is>
          <t>Malha — base sugerida</t>
        </is>
      </c>
      <c r="C31" s="73" t="inlineStr">
        <is>
          <t>500k–2M células 3D (lit.: IC full scale ≈ 2.3M, D'Bastiani 2021)</t>
        </is>
      </c>
      <c r="D31" s="77" t="n"/>
      <c r="E31" s="78" t="n"/>
    </row>
    <row r="32" ht="15" customHeight="1">
      <c r="B32" s="37" t="inlineStr">
        <is>
          <t>TRH calculado (V/Q_af) em horas</t>
        </is>
      </c>
      <c r="C32" s="18">
        <f>'1_Geometria'!C5/('2_Vazoes_Velocidades'!C4/24)</f>
        <v/>
      </c>
      <c r="D32" s="56" t="inlineStr">
        <is>
          <t>h</t>
        </is>
      </c>
      <c r="E32" s="55" t="n"/>
    </row>
    <row r="33" ht="15" customHeight="1">
      <c r="B33" s="37" t="inlineStr">
        <is>
          <t>Tempo mínimo de simulação transiente (5×TRH)</t>
        </is>
      </c>
      <c r="C33" s="21">
        <f>C32*5*3600</f>
        <v/>
      </c>
      <c r="D33" s="56" t="inlineStr">
        <is>
          <t>s</t>
        </is>
      </c>
      <c r="E33" s="57" t="inlineStr">
        <is>
          <t>Em segundos para setup STAR-CCM+</t>
        </is>
      </c>
    </row>
    <row r="34" ht="7.5" customHeight="1"/>
    <row r="35" ht="21.75" customHeight="1">
      <c r="A35" s="46" t="inlineStr">
        <is>
          <t>MAPA COMPLETO DE BOUNDARY CONDITIONS — ★ ATUALIZADO v2.0</t>
        </is>
      </c>
      <c r="B35" s="79" t="n"/>
      <c r="C35" s="79" t="n"/>
      <c r="D35" s="80" t="n"/>
    </row>
    <row r="36" ht="19.5" customHeight="1">
      <c r="A36" s="46" t="inlineStr">
        <is>
          <t>#</t>
        </is>
      </c>
      <c r="B36" s="46" t="inlineStr">
        <is>
          <t>Superfície / Região</t>
        </is>
      </c>
      <c r="C36" s="46" t="inlineStr">
        <is>
          <t>Tipo BC</t>
        </is>
      </c>
      <c r="D36" s="46" t="inlineStr">
        <is>
          <t>Fase</t>
        </is>
      </c>
      <c r="E36" s="46" t="inlineStr">
        <is>
          <t>Valor / Observação</t>
        </is>
      </c>
    </row>
    <row r="37" ht="21.75" customHeight="1">
      <c r="A37" s="49" t="inlineStr">
        <is>
          <t>1</t>
        </is>
      </c>
      <c r="B37" s="61" t="inlineStr">
        <is>
          <t>6 faces externas bocais (DN80)</t>
        </is>
      </c>
      <c r="C37" s="61" t="inlineStr">
        <is>
          <t>Velocity Inlet</t>
        </is>
      </c>
      <c r="D37" s="49" t="inlineStr">
        <is>
          <t>Líquido</t>
        </is>
      </c>
      <c r="E37" s="49" t="inlineStr">
        <is>
          <t>Q=66,7 m³/d/bocal | T=35°C | incl.7° | tang.80° anti-horário</t>
        </is>
      </c>
    </row>
    <row r="38" ht="21.75" customHeight="1">
      <c r="A38" s="49" t="inlineStr">
        <is>
          <t>2</t>
        </is>
      </c>
      <c r="B38" s="61" t="inlineStr">
        <is>
          <t>Face topo do DN100 (retorno)</t>
        </is>
      </c>
      <c r="C38" s="61" t="inlineStr">
        <is>
          <t>Velocity Inlet</t>
        </is>
      </c>
      <c r="D38" s="49" t="inlineStr">
        <is>
          <t>Líquido</t>
        </is>
      </c>
      <c r="E38" s="49" t="inlineStr">
        <is>
          <t>Q=350 m³/d | dir.−Z | T=35°C</t>
        </is>
      </c>
    </row>
    <row r="39" ht="21.75" customHeight="1">
      <c r="A39" s="59" t="inlineStr">
        <is>
          <t>3</t>
        </is>
      </c>
      <c r="B39" s="62" t="inlineStr">
        <is>
          <t>12 difusores DN250 no fundo</t>
        </is>
      </c>
      <c r="C39" s="62" t="inlineStr">
        <is>
          <t>Mass Flow Inlet</t>
        </is>
      </c>
      <c r="D39" s="59" t="inlineStr">
        <is>
          <t>Gás (biogás)</t>
        </is>
      </c>
      <c r="E39" s="59" t="inlineStr">
        <is>
          <t>ṁ=(40%×Q_biogás)/12 | CH₄65%/CO₂34%/H₂S1% | d_bolha=2mm</t>
        </is>
      </c>
    </row>
    <row r="40" ht="21.75" customHeight="1">
      <c r="A40" s="47" t="inlineStr">
        <is>
          <t>4</t>
        </is>
      </c>
      <c r="B40" s="45" t="inlineStr">
        <is>
          <t>4 furos DN50 (paredes laterais)</t>
        </is>
      </c>
      <c r="C40" s="45" t="inlineStr">
        <is>
          <t>Pressure Outlet</t>
        </is>
      </c>
      <c r="D40" s="47" t="inlineStr">
        <is>
          <t>Multifásico</t>
        </is>
      </c>
      <c r="E40" s="47" t="inlineStr">
        <is>
          <t>P_rel=0 | z=2,92/5,84/8,76/13,87m | az=0°</t>
        </is>
      </c>
    </row>
    <row r="41" ht="21.75" customHeight="1">
      <c r="A41" s="47" t="inlineStr">
        <is>
          <t>5</t>
        </is>
      </c>
      <c r="B41" s="45" t="inlineStr">
        <is>
          <t>Furo DN100 central (ápice domo)</t>
        </is>
      </c>
      <c r="C41" s="45" t="inlineStr">
        <is>
          <t>Pressure Outlet</t>
        </is>
      </c>
      <c r="D41" s="47" t="inlineStr">
        <is>
          <t>Gás</t>
        </is>
      </c>
      <c r="E41" s="47" t="inlineStr">
        <is>
          <t>P_rel=0 — saída primária biogás</t>
        </is>
      </c>
    </row>
    <row r="42" ht="21.75" customHeight="1">
      <c r="A42" s="47" t="inlineStr">
        <is>
          <t>6</t>
        </is>
      </c>
      <c r="B42" s="45" t="inlineStr">
        <is>
          <t>Furo DN100 lateral (z=14,20m)</t>
        </is>
      </c>
      <c r="C42" s="45" t="inlineStr">
        <is>
          <t>Pressure Outlet</t>
        </is>
      </c>
      <c r="D42" s="47" t="inlineStr">
        <is>
          <t>Líquido</t>
        </is>
      </c>
      <c r="E42" s="47" t="inlineStr">
        <is>
          <t>P_rel=0 — controla nível operacional | az=180°</t>
        </is>
      </c>
    </row>
    <row r="43" ht="21.75" customHeight="1">
      <c r="A43" s="43" t="inlineStr">
        <is>
          <t>7</t>
        </is>
      </c>
      <c r="B43" s="63" t="inlineStr">
        <is>
          <t>Parede cilíndrica + domo + fundo</t>
        </is>
      </c>
      <c r="C43" s="63" t="inlineStr">
        <is>
          <t>No-slip Wall</t>
        </is>
      </c>
      <c r="D43" s="43" t="inlineStr">
        <is>
          <t>—</t>
        </is>
      </c>
      <c r="E43" s="43" t="inlineStr">
        <is>
          <t>Rugosidade=0 | y⁺=30–100 (k-ε Realizable)</t>
        </is>
      </c>
    </row>
    <row r="44" ht="21.75" customHeight="1">
      <c r="A44" s="43" t="inlineStr">
        <is>
          <t>8</t>
        </is>
      </c>
      <c r="B44" s="63" t="inlineStr">
        <is>
          <t>8 placas separadoras</t>
        </is>
      </c>
      <c r="C44" s="63" t="inlineStr">
        <is>
          <t>Baffle No-slip</t>
        </is>
      </c>
      <c r="D44" s="43" t="inlineStr">
        <is>
          <t>—</t>
        </is>
      </c>
      <c r="E44" s="43" t="inlineStr">
        <is>
          <t>Ambos os lados | borda clipada ao cilindro</t>
        </is>
      </c>
    </row>
    <row r="45" ht="21.75" customHeight="1">
      <c r="A45" s="43" t="inlineStr">
        <is>
          <t>9</t>
        </is>
      </c>
      <c r="B45" s="63" t="inlineStr">
        <is>
          <t>Parede anelar DN100 (baffle)</t>
        </is>
      </c>
      <c r="C45" s="63" t="inlineStr">
        <is>
          <t>Baffle No-slip</t>
        </is>
      </c>
      <c r="D45" s="43" t="inlineStr">
        <is>
          <t>—</t>
        </is>
      </c>
      <c r="E45" s="43" t="inlineStr">
        <is>
          <t>Separa fluxo ↓ (dentro) de ↑ (fora)</t>
        </is>
      </c>
    </row>
    <row r="46" ht="21.75" customHeight="1">
      <c r="A46" s="43" t="inlineStr">
        <is>
          <t>10</t>
        </is>
      </c>
      <c r="B46" s="63" t="inlineStr">
        <is>
          <t>4 placas eletrodos A/C</t>
        </is>
      </c>
      <c r="C46" s="63" t="inlineStr">
        <is>
          <t>No-slip Wall</t>
        </is>
      </c>
      <c r="D46" s="43" t="inlineStr">
        <is>
          <t>—</t>
        </is>
      </c>
      <c r="E46" s="43" t="inlineStr">
        <is>
          <t>Sólidos inertes — sem eletroquímica no caso base</t>
        </is>
      </c>
    </row>
    <row r="48" ht="21.75" customHeight="1">
      <c r="A48" s="64" t="inlineStr">
        <is>
          <t>CENÁRIOS DE SENSIBILIDADE — ÂNGULO TANGENCIAL DOS BOCAIS (★ NOVO v2.0)</t>
        </is>
      </c>
      <c r="B48" s="79" t="n"/>
      <c r="C48" s="79" t="n"/>
      <c r="D48" s="80" t="n"/>
    </row>
    <row r="49" ht="19.5" customHeight="1">
      <c r="A49" s="64" t="inlineStr">
        <is>
          <t>Cenário</t>
        </is>
      </c>
      <c r="B49" s="64" t="inlineStr">
        <is>
          <t>NOZZLE_TANG_ANGLE</t>
        </is>
      </c>
      <c r="C49" s="64" t="inlineStr">
        <is>
          <t>Caracterização</t>
        </is>
      </c>
      <c r="D49" s="64" t="inlineStr">
        <is>
          <t>Inclinação vertical</t>
        </is>
      </c>
      <c r="E49" s="64" t="inlineStr">
        <is>
          <t>Status</t>
        </is>
      </c>
    </row>
    <row r="50" ht="19.5" customHeight="1">
      <c r="A50" s="65" t="inlineStr">
        <is>
          <t>C0 (CASO BASE)</t>
        </is>
      </c>
      <c r="B50" s="65" t="inlineStr">
        <is>
          <t>80°</t>
        </is>
      </c>
      <c r="C50" s="65" t="inlineStr">
        <is>
          <t>Quase tangencial — swirl forte</t>
        </is>
      </c>
      <c r="D50" s="65" t="inlineStr">
        <is>
          <t>7,0°</t>
        </is>
      </c>
      <c r="E50" s="65" t="inlineStr">
        <is>
          <t>★ Rodar primeiro</t>
        </is>
      </c>
    </row>
    <row r="51" ht="19.5" customHeight="1">
      <c r="A51" s="43" t="inlineStr">
        <is>
          <t>C1</t>
        </is>
      </c>
      <c r="B51" s="43" t="inlineStr">
        <is>
          <t>75°</t>
        </is>
      </c>
      <c r="C51" s="43" t="inlineStr">
        <is>
          <t>Swirl forte, leve componente radial</t>
        </is>
      </c>
      <c r="D51" s="43" t="inlineStr">
        <is>
          <t>7,0°</t>
        </is>
      </c>
      <c r="E51" s="43" t="inlineStr">
        <is>
          <t>Pós caso base</t>
        </is>
      </c>
    </row>
    <row r="52" ht="19.5" customHeight="1">
      <c r="A52" s="43" t="inlineStr">
        <is>
          <t>C2</t>
        </is>
      </c>
      <c r="B52" s="43" t="inlineStr">
        <is>
          <t>70°</t>
        </is>
      </c>
      <c r="C52" s="43" t="inlineStr">
        <is>
          <t>Mais radial, melhor distribuição</t>
        </is>
      </c>
      <c r="D52" s="43" t="inlineStr">
        <is>
          <t>7,0°</t>
        </is>
      </c>
      <c r="E52" s="43" t="inlineStr">
        <is>
          <t>Pós caso base</t>
        </is>
      </c>
    </row>
    <row r="53" ht="19.5" customHeight="1">
      <c r="A53" s="43" t="inlineStr">
        <is>
          <t>C3</t>
        </is>
      </c>
      <c r="B53" s="43" t="inlineStr">
        <is>
          <t>85°</t>
        </is>
      </c>
      <c r="C53" s="43" t="inlineStr">
        <is>
          <t>Mais tangencial, swirl agressivo</t>
        </is>
      </c>
      <c r="D53" s="43" t="inlineStr">
        <is>
          <t>7,0°</t>
        </is>
      </c>
      <c r="E53" s="43" t="inlineStr">
        <is>
          <t>Pós caso base</t>
        </is>
      </c>
    </row>
  </sheetData>
  <mergeCells count="15">
    <mergeCell ref="B23:E23"/>
    <mergeCell ref="B9:E9"/>
    <mergeCell ref="B1:E1"/>
    <mergeCell ref="C28:E28"/>
    <mergeCell ref="C27:E27"/>
    <mergeCell ref="A35:D35"/>
    <mergeCell ref="C31:E31"/>
    <mergeCell ref="A48:D48"/>
    <mergeCell ref="B16:E16"/>
    <mergeCell ref="C26:E26"/>
    <mergeCell ref="B3:E3"/>
    <mergeCell ref="C29:E29"/>
    <mergeCell ref="C30:E30"/>
    <mergeCell ref="C25:E25"/>
    <mergeCell ref="C24:E24"/>
  </mergeCells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tabSelected="1" topLeftCell="A18" zoomScaleNormal="100" workbookViewId="0">
      <selection activeCell="B31" sqref="B31"/>
    </sheetView>
  </sheetViews>
  <sheetFormatPr baseColWidth="8" defaultColWidth="8.7109375" defaultRowHeight="15"/>
  <cols>
    <col width="36" bestFit="1" customWidth="1" style="54" min="1" max="1"/>
    <col width="56.140625" bestFit="1" customWidth="1" style="54" min="2" max="2"/>
    <col width="7" bestFit="1" customWidth="1" style="54" min="3" max="3"/>
    <col width="32.85546875" bestFit="1" customWidth="1" style="54" min="4" max="4"/>
    <col width="50.85546875" bestFit="1" customWidth="1" style="54" min="5" max="5"/>
    <col width="8.7109375" customWidth="1" style="54" min="6" max="16384"/>
  </cols>
  <sheetData>
    <row r="1" ht="18" customHeight="1">
      <c r="B1" s="8" t="inlineStr">
        <is>
          <t>ABA 5 — PRESSÃO OPERACIONAL E BIOGÁS</t>
        </is>
      </c>
    </row>
    <row r="3" ht="15" customHeight="1">
      <c r="B3" s="7" t="inlineStr">
        <is>
          <t>PRESSÃO E BIOGÁS</t>
        </is>
      </c>
      <c r="C3" s="77" t="n"/>
      <c r="D3" s="77" t="n"/>
      <c r="E3" s="78" t="n"/>
    </row>
    <row r="4" ht="15" customHeight="1">
      <c r="B4" s="37" t="inlineStr">
        <is>
          <t>Pressão operacional do reator</t>
        </is>
      </c>
      <c r="C4" s="10" t="n">
        <v>1.5</v>
      </c>
      <c r="D4" s="55" t="inlineStr">
        <is>
          <t>kgf/cm²</t>
        </is>
      </c>
      <c r="E4" s="55" t="n"/>
    </row>
    <row r="5" ht="15" customHeight="1">
      <c r="B5" s="37" t="inlineStr">
        <is>
          <t>Pressão em Pa absoluta</t>
        </is>
      </c>
      <c r="C5" s="21">
        <f>C4*98066.5</f>
        <v/>
      </c>
      <c r="D5" s="56" t="inlineStr">
        <is>
          <t>Pa abs</t>
        </is>
      </c>
      <c r="E5" s="55" t="n"/>
    </row>
    <row r="6" ht="15" customHeight="1">
      <c r="B6" s="37" t="inlineStr">
        <is>
          <t>Pressão em kPa abs</t>
        </is>
      </c>
      <c r="C6" s="18">
        <f>C5/1000</f>
        <v/>
      </c>
      <c r="D6" s="56" t="inlineStr">
        <is>
          <t>kPa</t>
        </is>
      </c>
      <c r="E6" s="55" t="n"/>
    </row>
    <row r="7" ht="15" customHeight="1">
      <c r="B7" s="37" t="inlineStr">
        <is>
          <t>Pressão manométrica de operação (P_gage)</t>
        </is>
      </c>
      <c r="C7" s="21">
        <f>C5-101325</f>
        <v/>
      </c>
      <c r="D7" s="56" t="inlineStr">
        <is>
          <t>Pa gauge</t>
        </is>
      </c>
      <c r="E7" s="57" t="inlineStr">
        <is>
          <t>P_abs - P_atm</t>
        </is>
      </c>
    </row>
    <row r="8" ht="15" customHeight="1">
      <c r="B8" s="37" t="inlineStr">
        <is>
          <t>Pressão descarga blower</t>
        </is>
      </c>
      <c r="C8" s="10" t="n">
        <v>2</v>
      </c>
      <c r="D8" s="55" t="inlineStr">
        <is>
          <t>kgf/cm²</t>
        </is>
      </c>
      <c r="E8" s="55" t="n"/>
    </row>
    <row r="9" ht="15" customHeight="1">
      <c r="B9" s="37" t="inlineStr">
        <is>
          <t>P_blower em Pa abs</t>
        </is>
      </c>
      <c r="C9" s="21">
        <f>C8*98066.5</f>
        <v/>
      </c>
      <c r="D9" s="56" t="inlineStr">
        <is>
          <t>Pa abs</t>
        </is>
      </c>
      <c r="E9" s="55" t="n"/>
    </row>
    <row r="10" ht="15" customHeight="1">
      <c r="B10" s="55" t="n"/>
      <c r="C10" s="55" t="n"/>
      <c r="D10" s="55" t="n"/>
      <c r="E10" s="55" t="n"/>
    </row>
    <row r="11" ht="15" customHeight="1">
      <c r="B11" s="6" t="inlineStr">
        <is>
          <t>DENSIDADE DO BIOGÁS (CH₄/CO₂) NA PRESSÃO OPERACIONAL</t>
        </is>
      </c>
      <c r="C11" s="77" t="n"/>
      <c r="D11" s="77" t="n"/>
      <c r="E11" s="78" t="n"/>
    </row>
    <row r="12" ht="15" customHeight="1">
      <c r="B12" s="37" t="inlineStr">
        <is>
          <t>Temperatura operacional (T)</t>
        </is>
      </c>
      <c r="C12" s="10" t="n">
        <v>35</v>
      </c>
      <c r="D12" s="55" t="inlineStr">
        <is>
          <t>°C</t>
        </is>
      </c>
      <c r="E12" s="55" t="n"/>
    </row>
    <row r="13" ht="15" customHeight="1">
      <c r="B13" s="37" t="inlineStr">
        <is>
          <t>T em Kelvin</t>
        </is>
      </c>
      <c r="C13" s="12">
        <f>C12+273.15</f>
        <v/>
      </c>
      <c r="D13" s="56" t="inlineStr">
        <is>
          <t>K</t>
        </is>
      </c>
      <c r="E13" s="55" t="n"/>
    </row>
    <row r="14" ht="15" customHeight="1">
      <c r="B14" s="37" t="inlineStr">
        <is>
          <t>Fração molar de CH₄ na corrente (estimativa)</t>
        </is>
      </c>
      <c r="C14" s="10" t="n">
        <v>0.65</v>
      </c>
      <c r="D14" s="55" t="inlineStr">
        <is>
          <t>—</t>
        </is>
      </c>
      <c r="E14" s="42" t="inlineStr">
        <is>
          <t>★ v2.0: CH₄65%/CO₂34%/H₂S1% — Vinícius 16/05 18:04</t>
        </is>
      </c>
    </row>
    <row r="15" ht="15" customHeight="1">
      <c r="B15" s="37" t="inlineStr">
        <is>
          <t>Massa molar mistura (M_mix = yCH4·16 + yCO2·44)</t>
        </is>
      </c>
      <c r="C15" s="93">
        <f>0.65*16+0.34*44+0.01*34</f>
        <v/>
      </c>
      <c r="D15" s="56" t="inlineStr">
        <is>
          <t>g/mol</t>
        </is>
      </c>
      <c r="E15" s="55" t="inlineStr">
        <is>
          <t>★ FIX v3.0: inclui H₂S (era só CH₄+CO₂ → 25,8). Agora 25,7</t>
        </is>
      </c>
    </row>
    <row r="16" ht="15" customHeight="1">
      <c r="B16" s="37" t="inlineStr">
        <is>
          <t>Densidade biogás — gás ideal  ρ = P·M/(R·T)</t>
        </is>
      </c>
      <c r="C16" s="11">
        <f>C5*(C15/1000)/(8.314*C13)</f>
        <v/>
      </c>
      <c r="D16" s="56" t="inlineStr">
        <is>
          <t>kg/m³</t>
        </is>
      </c>
      <c r="E16" s="57" t="inlineStr">
        <is>
          <t>R=8.314 J/mol·K; M em kg/mol</t>
        </is>
      </c>
    </row>
    <row r="17" ht="15" customHeight="1">
      <c r="B17" s="55" t="n"/>
      <c r="C17" s="55" t="n"/>
      <c r="D17" s="55" t="n"/>
      <c r="E17" s="55" t="n"/>
    </row>
    <row r="18" ht="15" customHeight="1">
      <c r="B18" s="4" t="inlineStr">
        <is>
          <t>NOTA CFD — ABORDAGEM DE PRESSÃO NO STAR-CCM+</t>
        </is>
      </c>
      <c r="C18" s="77" t="n"/>
      <c r="D18" s="77" t="n"/>
      <c r="E18" s="78" t="n"/>
    </row>
    <row r="19" ht="15" customHeight="1">
      <c r="B19" s="75" t="inlineStr">
        <is>
          <t>No STAR-CCM+, o solver multifásico trabalha com pressão manométrica (gauge).</t>
        </is>
      </c>
      <c r="C19" s="77" t="n"/>
      <c r="D19" s="77" t="n"/>
      <c r="E19" s="78" t="n"/>
    </row>
    <row r="20" ht="15" customHeight="1">
      <c r="B20" s="76" t="inlineStr">
        <is>
          <t>Definir P_operacional como 'Operating Pressure' = P_abs do reator (Aba 5 C5).</t>
        </is>
      </c>
      <c r="C20" s="77" t="n"/>
      <c r="D20" s="77" t="n"/>
      <c r="E20" s="78" t="n"/>
    </row>
    <row r="21" ht="15" customHeight="1">
      <c r="B21" s="76" t="inlineStr">
        <is>
          <t>Outlet BC: P_gage = 0 Pa (topo do reator = referência).</t>
        </is>
      </c>
      <c r="C21" s="77" t="n"/>
      <c r="D21" s="77" t="n"/>
      <c r="E21" s="78" t="n"/>
    </row>
    <row r="22" ht="15" customHeight="1">
      <c r="B22" s="76" t="inlineStr">
        <is>
          <t xml:space="preserve">A coluna hidrostática é importante: ρ_L × g × H_reator ≈ </t>
        </is>
      </c>
      <c r="C22" s="77" t="n"/>
      <c r="D22" s="77" t="n"/>
      <c r="E22" s="78" t="n"/>
    </row>
    <row r="23" ht="15" customHeight="1">
      <c r="B23" s="37" t="inlineStr">
        <is>
          <t>Pressão hidrostática máxima (base do reator)  ΔP_hid = ρ_L·g·H</t>
        </is>
      </c>
      <c r="C23" s="21">
        <f>'3_Fases_Propriedades'!C6*9.81*'1_Geometria'!C12</f>
        <v/>
      </c>
      <c r="D23" s="56" t="inlineStr">
        <is>
          <t>Pa</t>
        </is>
      </c>
      <c r="E23" s="57" t="inlineStr">
        <is>
          <t>Informa setup de P operacional</t>
        </is>
      </c>
    </row>
    <row r="25" ht="21.75" customHeight="1">
      <c r="A25" s="46" t="inlineStr">
        <is>
          <t>COMPOSIÇÃO DO GÁS RECIRCULADO — ★ NOVO v2.0</t>
        </is>
      </c>
      <c r="B25" s="79" t="n"/>
      <c r="C25" s="79" t="n"/>
      <c r="D25" s="80" t="n"/>
    </row>
    <row r="26" ht="19.5" customHeight="1">
      <c r="A26" s="43" t="inlineStr">
        <is>
          <t>Fração CH₄</t>
        </is>
      </c>
      <c r="B26" s="52" t="inlineStr">
        <is>
          <t>0.65</t>
        </is>
      </c>
      <c r="C26" s="43" t="inlineStr">
        <is>
          <t>—</t>
        </is>
      </c>
      <c r="D26" s="51" t="inlineStr">
        <is>
          <t>Vinícius 16/05 18:04</t>
        </is>
      </c>
    </row>
    <row r="27" ht="19.5" customHeight="1">
      <c r="A27" s="43" t="inlineStr">
        <is>
          <t>Fração CO₂</t>
        </is>
      </c>
      <c r="B27" s="52" t="inlineStr">
        <is>
          <t>0.34</t>
        </is>
      </c>
      <c r="C27" s="43" t="inlineStr">
        <is>
          <t>—</t>
        </is>
      </c>
      <c r="D27" s="51" t="inlineStr">
        <is>
          <t>Vinícius 16/05 18:04</t>
        </is>
      </c>
    </row>
    <row r="28" ht="19.5" customHeight="1">
      <c r="A28" s="43" t="inlineStr">
        <is>
          <t>Fração H₂S</t>
        </is>
      </c>
      <c r="B28" s="41" t="inlineStr">
        <is>
          <t>0.01</t>
        </is>
      </c>
      <c r="C28" s="43" t="inlineStr">
        <is>
          <t>—</t>
        </is>
      </c>
      <c r="D28" s="47" t="inlineStr">
        <is>
          <t>★ v2.0 — Vinícius 16/05 18:04</t>
        </is>
      </c>
    </row>
    <row r="29" ht="19.5" customHeight="1">
      <c r="A29" s="43" t="inlineStr">
        <is>
          <t>Fração H₂</t>
        </is>
      </c>
      <c r="B29" s="52" t="inlineStr">
        <is>
          <t>traço</t>
        </is>
      </c>
      <c r="C29" s="43" t="inlineStr">
        <is>
          <t>—</t>
        </is>
      </c>
      <c r="D29" s="51" t="inlineStr">
        <is>
          <t>Vinícius 16/05 18:04</t>
        </is>
      </c>
    </row>
    <row r="30" ht="19.5" customHeight="1">
      <c r="A30" s="43" t="inlineStr">
        <is>
          <t>Massa molar mistura (M_mix)</t>
        </is>
      </c>
      <c r="B30" s="49">
        <f>0.65*16+0.34*44+0.01*34</f>
        <v/>
      </c>
      <c r="C30" s="43" t="inlineStr">
        <is>
          <t>g/mol</t>
        </is>
      </c>
      <c r="D30" s="51" t="inlineStr">
        <is>
          <t>Calculado</t>
        </is>
      </c>
    </row>
    <row r="31" ht="19.5" customHeight="1">
      <c r="A31" s="43" t="inlineStr">
        <is>
          <t>Densidade gás recirc. (35°C, 1,5 kgf/cm²)</t>
        </is>
      </c>
      <c r="B31" s="49">
        <f>B30/1000*147100/(8.314*308.15)</f>
        <v/>
      </c>
      <c r="C31" s="43" t="inlineStr">
        <is>
          <t>kg/m³</t>
        </is>
      </c>
      <c r="D31" s="51" t="inlineStr">
        <is>
          <t>Gás ideal — usar em Mass Flow Inlet</t>
        </is>
      </c>
    </row>
  </sheetData>
  <mergeCells count="9">
    <mergeCell ref="B18:E18"/>
    <mergeCell ref="B1:E1"/>
    <mergeCell ref="B21:E21"/>
    <mergeCell ref="A25:D25"/>
    <mergeCell ref="B11:E11"/>
    <mergeCell ref="B3:E3"/>
    <mergeCell ref="B19:E19"/>
    <mergeCell ref="B20:E20"/>
    <mergeCell ref="B22:E22"/>
  </mergeCells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3" customWidth="1" min="1" max="1"/>
    <col width="90" customWidth="1" min="2" max="2"/>
  </cols>
  <sheetData>
    <row r="1" ht="24" customHeight="1">
      <c r="A1" s="3" t="inlineStr">
        <is>
          <t>★ v3.0: nota mantida + adicionadas Abas 8 (Eletrodos), 9 (Cinética+Pós), 10 (Reports), 11 (Matriz). Ver Aba 9 para cálculo H₂/DQO via pós-processamento.</t>
        </is>
      </c>
      <c r="B1" s="79" t="n"/>
      <c r="C1" s="79" t="n"/>
      <c r="D1" s="79" t="n"/>
    </row>
    <row r="2" ht="18" customHeight="1"/>
    <row r="3" ht="18" customHeight="1">
      <c r="B3" s="26" t="inlineStr">
        <is>
          <t>ABA 6 — NOTA TÉCNICA: DEM vs EULERIANO-EULERIANO (Revisão da Literatura)</t>
        </is>
      </c>
    </row>
    <row r="4" ht="18" customHeight="1">
      <c r="B4" s="27" t="inlineStr">
        <is>
          <t>CONCLUSÃO PRINCIPAL</t>
        </is>
      </c>
    </row>
    <row r="5" ht="18" customHeight="1">
      <c r="B5" s="28" t="inlineStr">
        <is>
          <t>A literatura especializada em reatores de lodo granular anaeróbio NÃO registra nenhum uso de DEM.</t>
        </is>
      </c>
    </row>
    <row r="6" ht="18" customHeight="1">
      <c r="B6" s="29" t="inlineStr">
        <is>
          <t>Fonte: D'Bastiani et al. (2023) Water Research 242 — revisão sistemática de todos os papers CFD em AGSRs.</t>
        </is>
      </c>
    </row>
    <row r="7" ht="18" customHeight="1">
      <c r="B7" s="30" t="n"/>
    </row>
    <row r="8" ht="18" customHeight="1">
      <c r="B8" s="27" t="inlineStr">
        <is>
          <t>ABORDAGEM DOMINANTE NA LITERATURA</t>
        </is>
      </c>
    </row>
    <row r="9" ht="18" customHeight="1">
      <c r="B9" s="31" t="inlineStr">
        <is>
          <t>Euleriano-Euleriano (E-E) trifásico: gás + líquido + sólido (granular)</t>
        </is>
      </c>
    </row>
    <row r="10" ht="18" customHeight="1">
      <c r="B10" s="31" t="inlineStr">
        <is>
          <t>Modelo granular cinético (KTGF - Kinetic Theory of Granular Flow) para a fase sólida</t>
        </is>
      </c>
    </row>
    <row r="11" ht="18" customHeight="1">
      <c r="B11" s="31" t="inlineStr">
        <is>
          <t>Fase sólida tratada como fluido granular contínuo — NÃO como partículas discretas</t>
        </is>
      </c>
    </row>
    <row r="12" ht="18" customHeight="1">
      <c r="B12" s="30" t="n"/>
    </row>
    <row r="13" ht="18" customHeight="1">
      <c r="B13" s="27" t="inlineStr">
        <is>
          <t>POR QUE DEM NÃO É VIÁVEL AQUI?</t>
        </is>
      </c>
    </row>
    <row r="14" ht="18" customHeight="1">
      <c r="B14" s="29" t="inlineStr">
        <is>
          <t>1. Escala: reator de 50 m³ com grânulos de 1–3 mm implicaria bilhões de partículas — inviável computacionalmente.</t>
        </is>
      </c>
    </row>
    <row r="15" ht="18" customHeight="1">
      <c r="B15" s="29" t="inlineStr">
        <is>
          <t>2. Literatura: nenhum paper encontrado usando DEM ou SPH para AGSRs (D'Bastiani 2023 — busca extensiva).</t>
        </is>
      </c>
    </row>
    <row r="16" ht="18" customHeight="1">
      <c r="B16" s="29" t="inlineStr">
        <is>
          <t>3. A proposta menciona 'DEM' mas a própria CAEXPERTS usa STAR-CCM+ com E-E (padrão de mercado).</t>
        </is>
      </c>
    </row>
    <row r="17" ht="18" customHeight="1">
      <c r="B17" s="29" t="inlineStr">
        <is>
          <t>4. Wang et al. (2014): 'three-phase system would be too complex to model' mesmo em 2D — E-E já é desafiador.</t>
        </is>
      </c>
    </row>
    <row r="18" ht="18" customHeight="1">
      <c r="B18" s="30" t="n"/>
    </row>
    <row r="19" ht="18" customHeight="1">
      <c r="B19" s="27" t="inlineStr">
        <is>
          <t>RECOMENDAÇÃO PARA O CONTRATO / KICK-OFF</t>
        </is>
      </c>
    </row>
    <row r="20" ht="18" customHeight="1">
      <c r="B20" s="32" t="inlineStr">
        <is>
          <t>→ Solicitar à CAEXPERTS confirmação: a 'fase sólida DEM' mencionada na proposta será implementada</t>
        </is>
      </c>
    </row>
    <row r="21" ht="18" customHeight="1">
      <c r="B21" s="32" t="inlineStr">
        <is>
          <t xml:space="preserve">   como Euleriano-Euleriano com KTGF (Kinetic Theory of Granular Flow) no STAR-CCM+.</t>
        </is>
      </c>
    </row>
    <row r="22" ht="18" customHeight="1">
      <c r="B22" s="32" t="inlineStr">
        <is>
          <t>→ Isso é tecnicamente correto e alinhado com a literatura. DEM verdadeiro (rastreamento de partículas</t>
        </is>
      </c>
    </row>
    <row r="23" ht="18" customHeight="1">
      <c r="B23" s="32" t="inlineStr">
        <is>
          <t xml:space="preserve">   individuais) é inviável nesta escala — é um termo por vezes usado de forma imprecisa em propostas.</t>
        </is>
      </c>
    </row>
    <row r="24" ht="18" customHeight="1">
      <c r="B24" s="30" t="n"/>
    </row>
    <row r="25" ht="18" customHeight="1">
      <c r="B25" s="27" t="inlineStr">
        <is>
          <t>MODELAGEM DO CASO BASE (conforme NDA/proposta assinada)</t>
        </is>
      </c>
    </row>
    <row r="26" ht="18" customHeight="1">
      <c r="B26" s="31" t="inlineStr">
        <is>
          <t>Caso Base: escoamento bifásico (gás + líquido) sem fase sólida — ou trifásico E-E se sólido incluído.</t>
        </is>
      </c>
    </row>
    <row r="27" ht="18" customHeight="1">
      <c r="B27" s="31" t="inlineStr">
        <is>
          <t>SEM cinética / sem biokinetics no caso base — apenas hidrodinâmica (Stage 1 escopo do NDA).</t>
        </is>
      </c>
    </row>
    <row r="28" ht="15" customHeight="1">
      <c r="B28" s="31" t="inlineStr">
        <is>
          <t>Estequiometria NÃO é calculada no reator CFD no caso base — o foco é HIDRÁULICO.</t>
        </is>
      </c>
    </row>
    <row r="29" ht="15" customHeight="1">
      <c r="B29" s="31" t="inlineStr">
        <is>
          <t>Geração de gás pode ser imposta como source term volumétrico constante (estimativa exploratória).</t>
        </is>
      </c>
    </row>
  </sheetData>
  <mergeCells count="1">
    <mergeCell ref="A1:D1"/>
  </mergeCells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zoomScaleNormal="100" workbookViewId="0">
      <selection activeCell="A1" sqref="A1"/>
    </sheetView>
  </sheetViews>
  <sheetFormatPr baseColWidth="8" defaultColWidth="8.7109375" defaultRowHeight="15"/>
  <cols>
    <col width="42" customWidth="1" min="1" max="1"/>
    <col width="20" customWidth="1" min="2" max="2"/>
    <col width="12" customWidth="1" min="3" max="3"/>
    <col width="38" customWidth="1" min="4" max="4"/>
  </cols>
  <sheetData>
    <row r="1" ht="30" customHeight="1">
      <c r="A1" s="2" t="inlineStr">
        <is>
          <t>FIORA IC — ABA 7: DIFUSORES DE MICROBOLHAS — ★ NOVO v2.0</t>
        </is>
      </c>
      <c r="B1" s="79" t="n"/>
      <c r="C1" s="79" t="n"/>
      <c r="D1" s="79" t="n"/>
    </row>
    <row r="2" ht="19.5" customHeight="1">
      <c r="A2" s="3" t="inlineStr">
        <is>
          <t>★ ATUALIZADO v2.0: 12× DN250 no FUNDO (anteriormente 4× DN60 na parede lateral) — Vinícius 16/05/2026 16:50</t>
        </is>
      </c>
      <c r="B2" s="79" t="n"/>
      <c r="C2" s="79" t="n"/>
      <c r="D2" s="79" t="n"/>
    </row>
    <row r="4" ht="18" customHeight="1">
      <c r="A4" s="5" t="inlineStr">
        <is>
          <t>A. CONFIGURAÇÃO DOS DIFUSORES</t>
        </is>
      </c>
      <c r="B4" s="79" t="n"/>
      <c r="C4" s="79" t="n"/>
      <c r="D4" s="80" t="n"/>
    </row>
    <row r="5" ht="19.5" customHeight="1">
      <c r="A5" s="14" t="inlineStr">
        <is>
          <t>Número total de difusores</t>
        </is>
      </c>
      <c r="B5" s="15" t="n">
        <v>12</v>
      </c>
      <c r="C5" s="14" t="inlineStr">
        <is>
          <t>—</t>
        </is>
      </c>
      <c r="D5" s="22" t="inlineStr">
        <is>
          <t>Vinícius 16/05 16:50</t>
        </is>
      </c>
    </row>
    <row r="6" ht="19.5" customHeight="1">
      <c r="A6" s="14" t="inlineStr">
        <is>
          <t>Diâmetro de cada difusor</t>
        </is>
      </c>
      <c r="B6" s="15" t="n">
        <v>0.25</v>
      </c>
      <c r="C6" s="14" t="inlineStr">
        <is>
          <t>m</t>
        </is>
      </c>
      <c r="D6" s="22" t="inlineStr">
        <is>
          <t>DN250 — Vinícius 16/05 16:50</t>
        </is>
      </c>
    </row>
    <row r="7" ht="19.5" customHeight="1">
      <c r="A7" s="14" t="inlineStr">
        <is>
          <t>Número de setores azimutais</t>
        </is>
      </c>
      <c r="B7" s="15" t="n">
        <v>6</v>
      </c>
      <c r="C7" s="14" t="inlineStr">
        <is>
          <t>—</t>
        </is>
      </c>
      <c r="D7" s="22" t="inlineStr">
        <is>
          <t>Setores entre os bocais</t>
        </is>
      </c>
    </row>
    <row r="8" ht="19.5" customHeight="1">
      <c r="A8" s="14" t="inlineStr">
        <is>
          <t>Difusores por setor</t>
        </is>
      </c>
      <c r="B8" s="15" t="n">
        <v>2</v>
      </c>
      <c r="C8" s="14" t="inlineStr">
        <is>
          <t>—</t>
        </is>
      </c>
      <c r="D8" s="22" t="inlineStr">
        <is>
          <t>1 interno (r=0,35m) + 1 externo (r=0,80m)</t>
        </is>
      </c>
    </row>
    <row r="9" ht="19.5" customHeight="1">
      <c r="A9" s="14" t="inlineStr">
        <is>
          <t>Raio posição interno (r_int)</t>
        </is>
      </c>
      <c r="B9" s="15" t="n">
        <v>0.35</v>
      </c>
      <c r="C9" s="14" t="inlineStr">
        <is>
          <t>m</t>
        </is>
      </c>
      <c r="D9" s="22" t="inlineStr">
        <is>
          <t>Adotado</t>
        </is>
      </c>
    </row>
    <row r="10" ht="19.5" customHeight="1">
      <c r="A10" s="14" t="inlineStr">
        <is>
          <t>Raio posição externo (r_ext)</t>
        </is>
      </c>
      <c r="B10" s="15" t="n">
        <v>0.8</v>
      </c>
      <c r="C10" s="14" t="inlineStr">
        <is>
          <t>m</t>
        </is>
      </c>
      <c r="D10" s="22" t="inlineStr">
        <is>
          <t>Adotado</t>
        </is>
      </c>
    </row>
    <row r="11" ht="19.5" customHeight="1">
      <c r="A11" s="14" t="inlineStr">
        <is>
          <t>Azimutes dos setores</t>
        </is>
      </c>
      <c r="B11" s="15" t="inlineStr">
        <is>
          <t>30,90,150,210,270,330</t>
        </is>
      </c>
      <c r="C11" s="14" t="inlineStr">
        <is>
          <t>°</t>
        </is>
      </c>
      <c r="D11" s="22" t="inlineStr">
        <is>
          <t>Entre os bocais (0,60,120,180,240,300°)</t>
        </is>
      </c>
    </row>
    <row r="12" ht="19.5" customHeight="1">
      <c r="A12" s="14" t="inlineStr">
        <is>
          <t>Cota vertical dos difusores</t>
        </is>
      </c>
      <c r="B12" s="15" t="n">
        <v>0.05</v>
      </c>
      <c r="C12" s="14" t="inlineStr">
        <is>
          <t>m</t>
        </is>
      </c>
      <c r="D12" s="22" t="inlineStr">
        <is>
          <t>No fundo — z≈50mm acima do piso</t>
        </is>
      </c>
    </row>
    <row r="14" ht="18" customHeight="1">
      <c r="A14" s="33" t="inlineStr">
        <is>
          <t>B. VAZÕES E CONDIÇÕES OPERACIONAIS</t>
        </is>
      </c>
      <c r="B14" s="79" t="n"/>
      <c r="C14" s="79" t="n"/>
      <c r="D14" s="80" t="n"/>
    </row>
    <row r="15" ht="15" customHeight="1">
      <c r="A15" s="14" t="inlineStr">
        <is>
          <t>Fração de biogás recirculado</t>
        </is>
      </c>
      <c r="B15" s="15" t="n">
        <v>0.4</v>
      </c>
      <c r="C15" s="14" t="inlineStr">
        <is>
          <t>—</t>
        </is>
      </c>
      <c r="D15" s="16" t="inlineStr">
        <is>
          <t>40% — confirmado Vinícius</t>
        </is>
      </c>
    </row>
    <row r="16" ht="23.25" customHeight="1">
      <c r="A16" s="14" t="inlineStr">
        <is>
          <t>Composição do gás recirculado</t>
        </is>
      </c>
      <c r="B16" s="13" t="inlineStr">
        <is>
          <t>CH₄ 65% / CO₂ 34% / H₂S 1% / H₂ traço</t>
        </is>
      </c>
      <c r="D16" s="16" t="inlineStr">
        <is>
          <t>★ v2.0 — Vinícius 16/05 18:04</t>
        </is>
      </c>
    </row>
    <row r="17" ht="15" customHeight="1">
      <c r="A17" s="14" t="inlineStr">
        <is>
          <t>Diâmetro das bolhas geradas (d₃₂)</t>
        </is>
      </c>
      <c r="B17" s="15" t="n">
        <v>0.002</v>
      </c>
      <c r="C17" s="14" t="inlineStr">
        <is>
          <t>m</t>
        </is>
      </c>
      <c r="D17" s="22" t="inlineStr">
        <is>
          <t>2 mm — literatura / Vinícius</t>
        </is>
      </c>
    </row>
    <row r="18" ht="15" customHeight="1">
      <c r="A18" s="14" t="inlineStr">
        <is>
          <t>Vazão unitária por difusor</t>
        </is>
      </c>
      <c r="B18" s="14" t="inlineStr">
        <is>
          <t>2–4</t>
        </is>
      </c>
      <c r="C18" s="14" t="inlineStr">
        <is>
          <t>Nm³/h</t>
        </is>
      </c>
      <c r="D18" s="22" t="inlineStr">
        <is>
          <t>Vinícius 16/05 16:50</t>
        </is>
      </c>
    </row>
    <row r="19" ht="15" customHeight="1">
      <c r="A19" s="14" t="inlineStr">
        <is>
          <t>Pressão do blower</t>
        </is>
      </c>
      <c r="B19" s="15" t="n">
        <v>2</v>
      </c>
      <c r="C19" s="14" t="inlineStr">
        <is>
          <t>kgf/cm²</t>
        </is>
      </c>
      <c r="D19" s="22" t="inlineStr">
        <is>
          <t>Vinícius 16/05 16:50</t>
        </is>
      </c>
    </row>
    <row r="21" ht="18" customHeight="1">
      <c r="A21" s="33" t="inlineStr">
        <is>
          <t>C. POSICIONAMENTO DOS 12 DIFUSORES</t>
        </is>
      </c>
      <c r="B21" s="79" t="n"/>
      <c r="C21" s="79" t="n"/>
      <c r="D21" s="80" t="n"/>
    </row>
    <row r="22" ht="19.5" customHeight="1">
      <c r="A22" s="46" t="inlineStr">
        <is>
          <t>Difusor</t>
        </is>
      </c>
      <c r="B22" s="46" t="inlineStr">
        <is>
          <t>Setor (az)</t>
        </is>
      </c>
      <c r="C22" s="46" t="inlineStr">
        <is>
          <t>Posição</t>
        </is>
      </c>
      <c r="D22" s="46" t="inlineStr">
        <is>
          <t>Raio (m)</t>
        </is>
      </c>
      <c r="E22" s="46" t="inlineStr">
        <is>
          <t>Notas</t>
        </is>
      </c>
    </row>
    <row r="23" ht="18" customHeight="1">
      <c r="A23" s="24" t="inlineStr">
        <is>
          <t>D01</t>
        </is>
      </c>
      <c r="B23" s="14" t="inlineStr">
        <is>
          <t>30°</t>
        </is>
      </c>
      <c r="C23" s="14" t="inlineStr">
        <is>
          <t>Interno</t>
        </is>
      </c>
      <c r="D23" s="14" t="inlineStr">
        <is>
          <t>0,35</t>
        </is>
      </c>
      <c r="E23" s="14" t="inlineStr">
        <is>
          <t>Par setor 1</t>
        </is>
      </c>
    </row>
    <row r="24" ht="18" customHeight="1">
      <c r="A24" s="34" t="inlineStr">
        <is>
          <t>D02</t>
        </is>
      </c>
      <c r="B24" s="22" t="inlineStr">
        <is>
          <t>30°</t>
        </is>
      </c>
      <c r="C24" s="22" t="inlineStr">
        <is>
          <t>Externo</t>
        </is>
      </c>
      <c r="D24" s="22" t="inlineStr">
        <is>
          <t>0,80</t>
        </is>
      </c>
      <c r="E24" s="22" t="inlineStr">
        <is>
          <t>Par setor 1</t>
        </is>
      </c>
    </row>
    <row r="25" ht="18" customHeight="1">
      <c r="A25" s="24" t="inlineStr">
        <is>
          <t>D03</t>
        </is>
      </c>
      <c r="B25" s="14" t="inlineStr">
        <is>
          <t>90°</t>
        </is>
      </c>
      <c r="C25" s="14" t="inlineStr">
        <is>
          <t>Interno</t>
        </is>
      </c>
      <c r="D25" s="14" t="inlineStr">
        <is>
          <t>0,35</t>
        </is>
      </c>
      <c r="E25" s="14" t="inlineStr">
        <is>
          <t>Par setor 2</t>
        </is>
      </c>
    </row>
    <row r="26" ht="18" customHeight="1">
      <c r="A26" s="34" t="inlineStr">
        <is>
          <t>D04</t>
        </is>
      </c>
      <c r="B26" s="22" t="inlineStr">
        <is>
          <t>90°</t>
        </is>
      </c>
      <c r="C26" s="22" t="inlineStr">
        <is>
          <t>Externo</t>
        </is>
      </c>
      <c r="D26" s="22" t="inlineStr">
        <is>
          <t>0,80</t>
        </is>
      </c>
      <c r="E26" s="22" t="inlineStr">
        <is>
          <t>Par setor 2</t>
        </is>
      </c>
    </row>
    <row r="27" ht="18" customHeight="1">
      <c r="A27" s="24" t="inlineStr">
        <is>
          <t>D05</t>
        </is>
      </c>
      <c r="B27" s="14" t="inlineStr">
        <is>
          <t>150°</t>
        </is>
      </c>
      <c r="C27" s="14" t="inlineStr">
        <is>
          <t>Interno</t>
        </is>
      </c>
      <c r="D27" s="14" t="inlineStr">
        <is>
          <t>0,35</t>
        </is>
      </c>
      <c r="E27" s="14" t="inlineStr">
        <is>
          <t>Par setor 3</t>
        </is>
      </c>
    </row>
    <row r="28" ht="18" customHeight="1">
      <c r="A28" s="34" t="inlineStr">
        <is>
          <t>D06</t>
        </is>
      </c>
      <c r="B28" s="22" t="inlineStr">
        <is>
          <t>150°</t>
        </is>
      </c>
      <c r="C28" s="22" t="inlineStr">
        <is>
          <t>Externo</t>
        </is>
      </c>
      <c r="D28" s="22" t="inlineStr">
        <is>
          <t>0,80</t>
        </is>
      </c>
      <c r="E28" s="22" t="inlineStr">
        <is>
          <t>Par setor 3</t>
        </is>
      </c>
    </row>
    <row r="29" ht="18" customHeight="1">
      <c r="A29" s="24" t="inlineStr">
        <is>
          <t>D07</t>
        </is>
      </c>
      <c r="B29" s="14" t="inlineStr">
        <is>
          <t>210°</t>
        </is>
      </c>
      <c r="C29" s="14" t="inlineStr">
        <is>
          <t>Interno</t>
        </is>
      </c>
      <c r="D29" s="14" t="inlineStr">
        <is>
          <t>0,35</t>
        </is>
      </c>
      <c r="E29" s="14" t="inlineStr">
        <is>
          <t>Par setor 4</t>
        </is>
      </c>
    </row>
    <row r="30" ht="18" customHeight="1">
      <c r="A30" s="34" t="inlineStr">
        <is>
          <t>D08</t>
        </is>
      </c>
      <c r="B30" s="22" t="inlineStr">
        <is>
          <t>210°</t>
        </is>
      </c>
      <c r="C30" s="22" t="inlineStr">
        <is>
          <t>Externo</t>
        </is>
      </c>
      <c r="D30" s="22" t="inlineStr">
        <is>
          <t>0,80</t>
        </is>
      </c>
      <c r="E30" s="22" t="inlineStr">
        <is>
          <t>Par setor 4</t>
        </is>
      </c>
    </row>
    <row r="31" ht="18" customHeight="1">
      <c r="A31" s="24" t="inlineStr">
        <is>
          <t>D09</t>
        </is>
      </c>
      <c r="B31" s="14" t="inlineStr">
        <is>
          <t>270°</t>
        </is>
      </c>
      <c r="C31" s="14" t="inlineStr">
        <is>
          <t>Interno</t>
        </is>
      </c>
      <c r="D31" s="14" t="inlineStr">
        <is>
          <t>0,35</t>
        </is>
      </c>
      <c r="E31" s="14" t="inlineStr">
        <is>
          <t>Par setor 5</t>
        </is>
      </c>
    </row>
    <row r="32" ht="18" customHeight="1">
      <c r="A32" s="34" t="inlineStr">
        <is>
          <t>D10</t>
        </is>
      </c>
      <c r="B32" s="22" t="inlineStr">
        <is>
          <t>270°</t>
        </is>
      </c>
      <c r="C32" s="22" t="inlineStr">
        <is>
          <t>Externo</t>
        </is>
      </c>
      <c r="D32" s="22" t="inlineStr">
        <is>
          <t>0,80</t>
        </is>
      </c>
      <c r="E32" s="22" t="inlineStr">
        <is>
          <t>Par setor 5</t>
        </is>
      </c>
    </row>
    <row r="33" ht="18" customHeight="1">
      <c r="A33" s="24" t="inlineStr">
        <is>
          <t>D11</t>
        </is>
      </c>
      <c r="B33" s="14" t="inlineStr">
        <is>
          <t>330°</t>
        </is>
      </c>
      <c r="C33" s="14" t="inlineStr">
        <is>
          <t>Interno</t>
        </is>
      </c>
      <c r="D33" s="14" t="inlineStr">
        <is>
          <t>0,35</t>
        </is>
      </c>
      <c r="E33" s="14" t="inlineStr">
        <is>
          <t>Par setor 6</t>
        </is>
      </c>
    </row>
    <row r="34" ht="18" customHeight="1">
      <c r="A34" s="34" t="inlineStr">
        <is>
          <t>D12</t>
        </is>
      </c>
      <c r="B34" s="22" t="inlineStr">
        <is>
          <t>330°</t>
        </is>
      </c>
      <c r="C34" s="22" t="inlineStr">
        <is>
          <t>Externo</t>
        </is>
      </c>
      <c r="D34" s="22" t="inlineStr">
        <is>
          <t>0,80</t>
        </is>
      </c>
      <c r="E34" s="22" t="inlineStr">
        <is>
          <t>Par setor 6</t>
        </is>
      </c>
    </row>
    <row r="36" ht="18" customHeight="1">
      <c r="A36" s="33" t="inlineStr">
        <is>
          <t>D. SETUP NO STAR-CCM+</t>
        </is>
      </c>
      <c r="B36" s="79" t="n"/>
      <c r="C36" s="79" t="n"/>
      <c r="D36" s="80" t="n"/>
    </row>
    <row r="37" ht="21.75" customHeight="1">
      <c r="A37" s="33" t="inlineStr">
        <is>
          <t>1. Imprint</t>
        </is>
      </c>
      <c r="B37" s="35" t="inlineStr">
        <is>
          <t>Importar diffusers.step → Imprint Bodies com fluid_domain → cria 12 faces circulares no fundo</t>
        </is>
      </c>
      <c r="C37" s="79" t="n"/>
      <c r="D37" s="80" t="n"/>
    </row>
    <row r="38" ht="21.75" customHeight="1">
      <c r="A38" s="33" t="inlineStr">
        <is>
          <t>2. Delete</t>
        </is>
      </c>
      <c r="B38" s="35" t="inlineStr">
        <is>
          <t>Deletar bodies diffusers.step após Imprint (stubs cumpriram papel)</t>
        </is>
      </c>
      <c r="C38" s="79" t="n"/>
      <c r="D38" s="80" t="n"/>
    </row>
    <row r="39" ht="21.75" customHeight="1">
      <c r="A39" s="33" t="inlineStr">
        <is>
          <t>3. Nomear</t>
        </is>
      </c>
      <c r="B39" s="35" t="inlineStr">
        <is>
          <t>Renomear 12 faces: Inlet_Diffuser_01 a Inlet_Diffuser_12</t>
        </is>
      </c>
      <c r="C39" s="79" t="n"/>
      <c r="D39" s="80" t="n"/>
    </row>
    <row r="40" ht="21.75" customHeight="1">
      <c r="A40" s="33" t="inlineStr">
        <is>
          <t>4. BC</t>
        </is>
      </c>
      <c r="B40" s="35" t="inlineStr">
        <is>
          <t>Tipo: Mass Flow Inlet | Fase: Gás | ṁ = (0,40 × Q_biogás_total) ÷ 12 por difusor</t>
        </is>
      </c>
      <c r="C40" s="79" t="n"/>
      <c r="D40" s="80" t="n"/>
    </row>
    <row r="41" ht="21.75" customHeight="1">
      <c r="A41" s="33" t="inlineStr">
        <is>
          <t>5. Composição</t>
        </is>
      </c>
      <c r="B41" s="35" t="inlineStr">
        <is>
          <t>CH₄: 0,65 | CO₂: 0,34 | H₂S: 0,01 | T=35°C | d_bolha=2mm</t>
        </is>
      </c>
      <c r="C41" s="79" t="n"/>
      <c r="D41" s="80" t="n"/>
    </row>
    <row r="42" ht="21.75" customHeight="1">
      <c r="A42" s="33" t="inlineStr">
        <is>
          <t>6. Verificar</t>
        </is>
      </c>
      <c r="B42" s="35" t="inlineStr">
        <is>
          <t>Geometry Check → 12 faces DN250 geradas corretamente (sem degeneradas)</t>
        </is>
      </c>
      <c r="C42" s="79" t="n"/>
      <c r="D42" s="80" t="n"/>
    </row>
  </sheetData>
  <mergeCells count="12">
    <mergeCell ref="A1:D1"/>
    <mergeCell ref="B42:D42"/>
    <mergeCell ref="B37:D37"/>
    <mergeCell ref="B41:D41"/>
    <mergeCell ref="A4:D4"/>
    <mergeCell ref="A21:D21"/>
    <mergeCell ref="B40:D40"/>
    <mergeCell ref="A2:D2"/>
    <mergeCell ref="B39:D39"/>
    <mergeCell ref="B38:D38"/>
    <mergeCell ref="A36:D36"/>
    <mergeCell ref="A14:D14"/>
  </mergeCells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6.86" customWidth="1" min="1" max="1"/>
    <col width="18" customWidth="1" min="2" max="2"/>
    <col width="15" customWidth="1" min="3" max="3"/>
    <col width="49" customWidth="1" min="4" max="4"/>
    <col width="40" customWidth="1" min="5" max="5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8 — ELETRODOS ELETROATIVOS (Ânodo/Cátodo)</t>
        </is>
      </c>
    </row>
    <row r="4">
      <c r="A4" s="96" t="inlineStr">
        <is>
          <t>PARÂMETROS GEOMÉTRICOS (Vinícius 15/05 16:50 — módulo eletroativo)</t>
        </is>
      </c>
      <c r="B4" s="97" t="n"/>
      <c r="C4" s="97" t="n"/>
      <c r="D4" s="98" t="n"/>
    </row>
    <row r="5">
      <c r="A5" t="inlineStr">
        <is>
          <t>Número total de placas</t>
        </is>
      </c>
      <c r="B5" s="99" t="n">
        <v>4</v>
      </c>
      <c r="C5" t="inlineStr">
        <is>
          <t>—</t>
        </is>
      </c>
      <c r="D5" t="inlineStr">
        <is>
          <t>2 ânodos + 2 cátodos</t>
        </is>
      </c>
    </row>
    <row r="6">
      <c r="A6" t="inlineStr">
        <is>
          <t>Altura da placa (ELEC_H)</t>
        </is>
      </c>
      <c r="B6" s="99" t="n">
        <v>2.4</v>
      </c>
      <c r="C6" t="inlineStr">
        <is>
          <t>m</t>
        </is>
      </c>
      <c r="D6" t="inlineStr">
        <is>
          <t>Vinícius — tabela 15/05</t>
        </is>
      </c>
    </row>
    <row r="7">
      <c r="A7" t="inlineStr">
        <is>
          <t>Largura da placa (ELEC_W)</t>
        </is>
      </c>
      <c r="B7" s="99" t="n">
        <v>0.52</v>
      </c>
      <c r="C7" t="inlineStr">
        <is>
          <t>m</t>
        </is>
      </c>
      <c r="D7" t="inlineStr">
        <is>
          <t>Vinícius — tabela 15/05</t>
        </is>
      </c>
    </row>
    <row r="8">
      <c r="A8" t="inlineStr">
        <is>
          <t>Espessura da placa (ELEC_THICK)</t>
        </is>
      </c>
      <c r="B8" s="99" t="n">
        <v>0.008</v>
      </c>
      <c r="C8" t="inlineStr">
        <is>
          <t>m</t>
        </is>
      </c>
      <c r="D8" t="inlineStr">
        <is>
          <t>8 mm — padrão eletrodo industrial</t>
        </is>
      </c>
    </row>
    <row r="9">
      <c r="A9" t="inlineStr">
        <is>
          <t>Posição radial (ELEC_R_POS = 65% × R_reator)</t>
        </is>
      </c>
      <c r="B9" s="100">
        <f>0.65*('1_Geometria'!C11/2)</f>
        <v/>
      </c>
      <c r="C9" t="inlineStr">
        <is>
          <t>m</t>
        </is>
      </c>
      <c r="D9" t="inlineStr">
        <is>
          <t>0,65 × R = 0,68 m do centro</t>
        </is>
      </c>
    </row>
    <row r="10">
      <c r="A10" t="inlineStr">
        <is>
          <t>Cota base (ELEC_Z_BOT)</t>
        </is>
      </c>
      <c r="B10" s="99" t="n">
        <v>0.25</v>
      </c>
      <c r="C10" t="inlineStr">
        <is>
          <t>m</t>
        </is>
      </c>
      <c r="D10" t="inlineStr">
        <is>
          <t>Vinícius: 'abaixo do 1° separador'</t>
        </is>
      </c>
    </row>
    <row r="11">
      <c r="A11" t="inlineStr">
        <is>
          <t>Cota topo (ELEC_Z_TOP = ELEC_Z_BOT + ELEC_H)</t>
        </is>
      </c>
      <c r="B11" s="100">
        <f>B8+B6</f>
        <v/>
      </c>
      <c r="C11" t="inlineStr">
        <is>
          <t>m</t>
        </is>
      </c>
      <c r="D11" t="inlineStr">
        <is>
          <t>0,25 + 2,40 = 2,65 m</t>
        </is>
      </c>
    </row>
    <row r="12">
      <c r="A12" t="inlineStr">
        <is>
          <t>Cota do Sep. 20% (limite superior permitido)</t>
        </is>
      </c>
      <c r="B12" s="100">
        <f>'1_Geometria'!C19</f>
        <v/>
      </c>
      <c r="C12" t="inlineStr">
        <is>
          <t>m</t>
        </is>
      </c>
      <c r="D12" t="inlineStr">
        <is>
          <t>Não pode haver overlap</t>
        </is>
      </c>
    </row>
    <row r="13">
      <c r="A13" t="inlineStr">
        <is>
          <t>Folga vertical até Sep. 20%</t>
        </is>
      </c>
      <c r="B13" s="100">
        <f>B11-B10</f>
        <v/>
      </c>
      <c r="C13" t="inlineStr">
        <is>
          <t>m</t>
        </is>
      </c>
      <c r="D13" t="inlineStr">
        <is>
          <t>✓ Deve ser positivo</t>
        </is>
      </c>
    </row>
    <row r="15">
      <c r="A15" s="96" t="inlineStr">
        <is>
          <t>ÁREA ELETROATIVA</t>
        </is>
      </c>
      <c r="B15" s="97" t="n"/>
      <c r="C15" s="97" t="n"/>
      <c r="D15" s="98" t="n"/>
    </row>
    <row r="16">
      <c r="A16" t="inlineStr">
        <is>
          <t>Área por placa</t>
        </is>
      </c>
      <c r="B16" s="100">
        <f>B6*B7</f>
        <v/>
      </c>
      <c r="C16" t="inlineStr">
        <is>
          <t>m²</t>
        </is>
      </c>
      <c r="D16">
        <f> ELEC_H × ELEC_W ≈ 1,25 m²</f>
        <v/>
      </c>
    </row>
    <row r="17">
      <c r="A17" t="inlineStr">
        <is>
          <t>Área eletroativa total (4 placas)</t>
        </is>
      </c>
      <c r="B17" s="100">
        <f>4*B14</f>
        <v/>
      </c>
      <c r="C17" t="inlineStr">
        <is>
          <t>m²</t>
        </is>
      </c>
      <c r="D17" t="inlineStr">
        <is>
          <t>≈ 5,0 m² — confere com Vinícius</t>
        </is>
      </c>
    </row>
    <row r="19">
      <c r="A19" s="96" t="inlineStr">
        <is>
          <t>ARRANJO DOS PARES E GAP</t>
        </is>
      </c>
      <c r="B19" s="97" t="n"/>
      <c r="C19" s="97" t="n"/>
      <c r="D19" s="98" t="n"/>
    </row>
    <row r="20">
      <c r="A20" t="inlineStr">
        <is>
          <t>Número de pares Ânodo/Cátodo</t>
        </is>
      </c>
      <c r="B20" s="99" t="n">
        <v>2</v>
      </c>
      <c r="C20" t="inlineStr">
        <is>
          <t>—</t>
        </is>
      </c>
      <c r="D20" t="inlineStr">
        <is>
          <t>Par 1 + Par 2</t>
        </is>
      </c>
    </row>
    <row r="21">
      <c r="A21" t="inlineStr">
        <is>
          <t>Azimute do Par 1</t>
        </is>
      </c>
      <c r="B21" s="99" t="n">
        <v>0</v>
      </c>
      <c r="C21" t="inlineStr">
        <is>
          <t>°</t>
        </is>
      </c>
      <c r="D21" t="inlineStr">
        <is>
          <t>Adotado — simetria diametral</t>
        </is>
      </c>
    </row>
    <row r="22">
      <c r="A22" t="inlineStr">
        <is>
          <t>Azimute do Par 2</t>
        </is>
      </c>
      <c r="B22" s="99" t="n">
        <v>180</v>
      </c>
      <c r="C22" t="inlineStr">
        <is>
          <t>°</t>
        </is>
      </c>
      <c r="D22" t="inlineStr">
        <is>
          <t>Adotado — diametralmente oposto</t>
        </is>
      </c>
    </row>
    <row r="23">
      <c r="A23" t="inlineStr">
        <is>
          <t>Gap FACE-A-FACE (ELEC_GAP_FACE)</t>
        </is>
      </c>
      <c r="B23" s="99" t="n">
        <v>0.03</v>
      </c>
      <c r="C23" t="inlineStr">
        <is>
          <t>m</t>
        </is>
      </c>
      <c r="D23" t="inlineStr">
        <is>
          <t>Vinícius: 'máximo 30 mm' — adotado limite superior</t>
        </is>
      </c>
    </row>
    <row r="24">
      <c r="A24" t="inlineStr">
        <is>
          <t>Distância CENTRO-A-CENTRO (c2c = gap + esp.)</t>
        </is>
      </c>
      <c r="B24" s="100">
        <f>B21+B8</f>
        <v/>
      </c>
      <c r="C24" t="inlineStr">
        <is>
          <t>m</t>
        </is>
      </c>
      <c r="D24" t="inlineStr">
        <is>
          <t>Usado no CAD para posicionar as placas</t>
        </is>
      </c>
    </row>
    <row r="26">
      <c r="A26" s="96" t="inlineStr">
        <is>
          <t>VERIFICAÇÕES GEOMÉTRICAS (não pode haver conflito)</t>
        </is>
      </c>
      <c r="B26" s="97" t="n"/>
      <c r="C26" s="97" t="n"/>
      <c r="D26" s="98" t="n"/>
    </row>
    <row r="27">
      <c r="A27" t="inlineStr">
        <is>
          <t>Raio externo da placa (r_ext = R_POS + W/2)</t>
        </is>
      </c>
      <c r="B27" s="100">
        <f>B9+B7/2</f>
        <v/>
      </c>
      <c r="C27" t="inlineStr">
        <is>
          <t>m</t>
        </is>
      </c>
      <c r="D27" t="inlineStr">
        <is>
          <t>0,68 + 0,26 = 0,94 m</t>
        </is>
      </c>
    </row>
    <row r="28">
      <c r="A28" t="inlineStr">
        <is>
          <t>Raio interno da placa (r_int = R_POS − W/2)</t>
        </is>
      </c>
      <c r="B28" s="100">
        <f>B9-B7/2</f>
        <v/>
      </c>
      <c r="C28" t="inlineStr">
        <is>
          <t>m</t>
        </is>
      </c>
      <c r="D28" t="inlineStr">
        <is>
          <t>0,68 − 0,26 = 0,42 m</t>
        </is>
      </c>
    </row>
    <row r="29">
      <c r="A29" t="inlineStr">
        <is>
          <t>Raio do reator</t>
        </is>
      </c>
      <c r="B29" s="100">
        <f>'1_Geometria'!C11/2</f>
        <v/>
      </c>
      <c r="C29" t="inlineStr">
        <is>
          <t>m</t>
        </is>
      </c>
      <c r="D29" t="inlineStr">
        <is>
          <t>≈ 1,045 m</t>
        </is>
      </c>
    </row>
    <row r="30">
      <c r="A30" t="inlineStr">
        <is>
          <t>Folga radial até parede (R − r_ext)</t>
        </is>
      </c>
      <c r="B30" s="100">
        <f>B27-B25</f>
        <v/>
      </c>
      <c r="C30" t="inlineStr">
        <is>
          <t>m</t>
        </is>
      </c>
      <c r="D30" t="inlineStr">
        <is>
          <t>✓ Deve ser &gt; 0,05 m</t>
        </is>
      </c>
    </row>
    <row r="31">
      <c r="A31" t="inlineStr">
        <is>
          <t>Raio externo do DN100 (R_RETURN_OUT)</t>
        </is>
      </c>
      <c r="B31" s="99" t="n">
        <v>0.05</v>
      </c>
      <c r="C31" t="inlineStr">
        <is>
          <t>m</t>
        </is>
      </c>
      <c r="D31" t="inlineStr">
        <is>
          <t>DN100/2</t>
        </is>
      </c>
    </row>
    <row r="32">
      <c r="A32" t="inlineStr">
        <is>
          <t>Folga radial até DN100 (r_int − R_RETURN_OUT)</t>
        </is>
      </c>
      <c r="B32" s="100">
        <f>B26-B29</f>
        <v/>
      </c>
      <c r="C32" t="inlineStr">
        <is>
          <t>m</t>
        </is>
      </c>
      <c r="D32" t="inlineStr">
        <is>
          <t>✓ Deve ser &gt; 0,1 m</t>
        </is>
      </c>
    </row>
    <row r="34">
      <c r="A34" s="96" t="inlineStr">
        <is>
          <t>BOUNDARY CONDITION NO STAR-CCM+</t>
        </is>
      </c>
      <c r="B34" s="97" t="n"/>
      <c r="C34" s="97" t="n"/>
      <c r="D34" s="98" t="n"/>
    </row>
    <row r="35">
      <c r="A35" t="inlineStr">
        <is>
          <t>Tipo de BC</t>
        </is>
      </c>
      <c r="B35" s="100" t="inlineStr">
        <is>
          <t>No-slip Wall</t>
        </is>
      </c>
      <c r="C35" t="inlineStr">
        <is>
          <t>—</t>
        </is>
      </c>
      <c r="D35" t="inlineStr">
        <is>
          <t>Sólido inerte — sem eletroquímica no caso base</t>
        </is>
      </c>
    </row>
    <row r="36">
      <c r="A36" t="inlineStr">
        <is>
          <t>Nome no STAR-CCM+</t>
        </is>
      </c>
      <c r="B36" s="100" t="inlineStr">
        <is>
          <t>Wall_Electrode_A1 / A2 / C1 / C2</t>
        </is>
      </c>
      <c r="C36" t="inlineStr">
        <is>
          <t>—</t>
        </is>
      </c>
      <c r="D36" t="inlineStr">
        <is>
          <t>4 boundaries separadas</t>
        </is>
      </c>
    </row>
    <row r="37" ht="45" customHeight="1">
      <c r="A37" s="101" t="inlineStr">
        <is>
          <t>Parâmetros elétricos (tensão, corrente, densidade de corrente, transferência iônica) serão implementados na PRÓXIMA ETAPA via módulo Electrochemistry do STAR-CCM+, após validação do caso base hidrodinâmico.</t>
        </is>
      </c>
    </row>
    <row r="39">
      <c r="A39" s="102" t="inlineStr">
        <is>
          <t>PRÓXIMA ETAPA — ELETROQUÍMICA (FORA DO ESCOPO ATUAL)</t>
        </is>
      </c>
      <c r="B39" s="97" t="n"/>
      <c r="C39" s="97" t="n"/>
      <c r="D39" s="98" t="n"/>
    </row>
    <row r="41">
      <c r="A41" s="102" t="inlineStr">
        <is>
          <t>★ v4.0 — VERIFICAÇÃO DE FOLGA CRÍTICA: SEP. 20% × ELETRODOS</t>
        </is>
      </c>
      <c r="B41" s="97" t="n"/>
      <c r="C41" s="97" t="n"/>
      <c r="D41" s="98" t="n"/>
    </row>
    <row r="42">
      <c r="A42" t="inlineStr">
        <is>
          <t>Cota topo dos eletrodos (z_top)</t>
        </is>
      </c>
      <c r="B42" s="100">
        <f>B8+B6</f>
        <v/>
      </c>
      <c r="C42" t="inlineStr">
        <is>
          <t>m</t>
        </is>
      </c>
      <c r="D42">
        <f> ELEC_Z_BOT + ELEC_H = 2,65 m</f>
        <v/>
      </c>
    </row>
    <row r="43">
      <c r="A43" t="inlineStr">
        <is>
          <t>Cota nominal Sep. 20% (= borda inferior das placas)</t>
        </is>
      </c>
      <c r="B43" s="100">
        <f>'1_Geometria'!C19</f>
        <v/>
      </c>
      <c r="C43" t="inlineStr">
        <is>
          <t>m</t>
        </is>
      </c>
      <c r="D43" t="inlineStr">
        <is>
          <t>20% × H = 2,92 m</t>
        </is>
      </c>
    </row>
    <row r="44">
      <c r="A44" t="inlineStr">
        <is>
          <t>Queda vertical das placas do Sep. 20%</t>
        </is>
      </c>
      <c r="B44" s="100">
        <f>(0.5*'1_Geometria'!C11/2)*SIN(RADIANS('1_Geometria'!C22))</f>
        <v/>
      </c>
      <c r="C44" t="inlineStr">
        <is>
          <t>m</t>
        </is>
      </c>
      <c r="D44" t="inlineStr">
        <is>
          <t>W/2 × sin(47,5°) = 0,385 m (N=2, W=D/2)</t>
        </is>
      </c>
    </row>
    <row r="45">
      <c r="A45" t="inlineStr">
        <is>
          <t>★ FOLGA = (Sep. 20% base) − (eletrodo topo)</t>
        </is>
      </c>
      <c r="B45" s="111">
        <f>B43-B42</f>
        <v/>
      </c>
      <c r="C45" t="inlineStr">
        <is>
          <t>m</t>
        </is>
      </c>
      <c r="D45" t="inlineStr">
        <is>
          <t>Deve ser &gt; 50 mm. Calc.: 2,92 − 2,65 = 270 mm ✅</t>
        </is>
      </c>
    </row>
  </sheetData>
  <mergeCells count="10">
    <mergeCell ref="B1:E1"/>
    <mergeCell ref="A34:D34"/>
    <mergeCell ref="A4:D4"/>
    <mergeCell ref="A26:D26"/>
    <mergeCell ref="A39:D39"/>
    <mergeCell ref="A15:D15"/>
    <mergeCell ref="A37:E37"/>
    <mergeCell ref="A41:D41"/>
    <mergeCell ref="A19:D19"/>
    <mergeCell ref="B2:E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36.86" customWidth="1" min="1" max="1"/>
    <col width="18" customWidth="1" min="2" max="2"/>
    <col width="15" customWidth="1" min="3" max="3"/>
    <col width="49" customWidth="1" min="4" max="4"/>
    <col width="40" customWidth="1" min="5" max="5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9 — REGIÕES FUNCIONAIS A/B + CINÉTICA SIMPLIFICADA (Pós-processamento)</t>
        </is>
      </c>
    </row>
    <row r="4">
      <c r="A4" s="102" t="inlineStr">
        <is>
          <t>DEFINIÇÃO DAS REGIÕES FUNCIONAIS (Stage 2 §8) — Field Functions no STAR-CCM+</t>
        </is>
      </c>
      <c r="B4" s="97" t="n"/>
      <c r="C4" s="97" t="n"/>
      <c r="D4" s="98" t="n"/>
    </row>
    <row r="5">
      <c r="A5" t="inlineStr">
        <is>
          <t>Zona A — Região hidrogênica (z do fundo)</t>
        </is>
      </c>
      <c r="B5" s="100" t="inlineStr">
        <is>
          <t>0 → 8,76 m</t>
        </is>
      </c>
      <c r="C5" t="inlineStr">
        <is>
          <t>—</t>
        </is>
      </c>
      <c r="D5" t="inlineStr">
        <is>
          <t>0% → 60% da altura útil</t>
        </is>
      </c>
    </row>
    <row r="6">
      <c r="A6" t="inlineStr">
        <is>
          <t>Zona A — em frame centrado (CFD origem = centro)</t>
        </is>
      </c>
      <c r="B6" s="100" t="inlineStr">
        <is>
          <t>−7,30 → +1,46 m</t>
        </is>
      </c>
      <c r="C6" t="inlineStr">
        <is>
          <t>—</t>
        </is>
      </c>
      <c r="D6" t="inlineStr">
        <is>
          <t>z_rel = z − H/2</t>
        </is>
      </c>
    </row>
    <row r="7">
      <c r="A7" t="inlineStr">
        <is>
          <t>Zona B — Região metanogênica (z do fundo)</t>
        </is>
      </c>
      <c r="B7" s="100" t="inlineStr">
        <is>
          <t>8,76 → 13,87 m</t>
        </is>
      </c>
      <c r="C7" t="inlineStr">
        <is>
          <t>—</t>
        </is>
      </c>
      <c r="D7" t="inlineStr">
        <is>
          <t>60% → 95% da altura útil</t>
        </is>
      </c>
    </row>
    <row r="8">
      <c r="A8" t="inlineStr">
        <is>
          <t>Zona B — em frame centrado</t>
        </is>
      </c>
      <c r="B8" s="100" t="inlineStr">
        <is>
          <t>+1,46 → +6,57 m</t>
        </is>
      </c>
      <c r="C8" t="inlineStr">
        <is>
          <t>—</t>
        </is>
      </c>
      <c r="D8" t="inlineStr">
        <is>
          <t>z_rel = z − H/2</t>
        </is>
      </c>
    </row>
    <row r="9">
      <c r="A9" t="inlineStr">
        <is>
          <t>Zona Final — Separação (z do fundo)</t>
        </is>
      </c>
      <c r="B9" s="100" t="inlineStr">
        <is>
          <t>13,87 → 14,60 m</t>
        </is>
      </c>
      <c r="C9" t="inlineStr">
        <is>
          <t>—</t>
        </is>
      </c>
      <c r="D9" t="inlineStr">
        <is>
          <t>95% → 100% — apenas separação</t>
        </is>
      </c>
    </row>
    <row r="11">
      <c r="A11" s="96" t="inlineStr">
        <is>
          <t>FIELD FUNCTIONS A CRIAR NO STAR-CCM+ (Tools &gt; Field Functions &gt; New)</t>
        </is>
      </c>
      <c r="B11" s="97" t="n"/>
      <c r="C11" s="97" t="n"/>
      <c r="D11" s="98" t="n"/>
    </row>
    <row r="12">
      <c r="A12" s="83" t="inlineStr">
        <is>
          <t>Nome: Zone_A    |    Definition:</t>
        </is>
      </c>
      <c r="B12" s="103" t="inlineStr">
        <is>
          <t>($$Position[2] &lt; 1.46) &amp;&amp; ($$Position[2] &gt; -7.30) ? 1.0 : 0.0</t>
        </is>
      </c>
    </row>
    <row r="13">
      <c r="A13" s="83" t="inlineStr">
        <is>
          <t>Nome: Zone_B    |    Definition:</t>
        </is>
      </c>
      <c r="B13" s="103" t="inlineStr">
        <is>
          <t>($$Position[2] &gt;= 1.46) &amp;&amp; ($$Position[2] &lt; 6.57) ? 1.0 : 0.0</t>
        </is>
      </c>
    </row>
    <row r="14">
      <c r="A14" s="96" t="inlineStr">
        <is>
          <t>PARÂMETROS CINÉTICOS (Stage 2 §10, §13)</t>
        </is>
      </c>
      <c r="B14" s="97" t="n"/>
      <c r="C14" s="97" t="n"/>
      <c r="D14" s="98" t="n"/>
    </row>
    <row r="15">
      <c r="A15" t="inlineStr">
        <is>
          <t>DQO afluente (S_DQO_in)</t>
        </is>
      </c>
      <c r="B15" s="99" t="n">
        <v>25</v>
      </c>
      <c r="C15" t="inlineStr">
        <is>
          <t>kg/m³</t>
        </is>
      </c>
      <c r="D15" t="inlineStr">
        <is>
          <t>25.000 mg/L — Stage 2 §2 (faixa 20–30)</t>
        </is>
      </c>
    </row>
    <row r="16">
      <c r="A16" t="inlineStr">
        <is>
          <t>Carga orgânica total (L_org)</t>
        </is>
      </c>
      <c r="B16" s="100">
        <f>B15*'2_Vazoes_Velocidades'!C4</f>
        <v/>
      </c>
      <c r="C16" t="inlineStr">
        <is>
          <t>kg DQO/d</t>
        </is>
      </c>
      <c r="D16">
        <f> S_DQO × Q_af ≈ 1.250 kg DQO/d</f>
        <v/>
      </c>
    </row>
    <row r="17">
      <c r="A17" t="inlineStr">
        <is>
          <t>Constante cinética Região A (k_app,A)</t>
        </is>
      </c>
      <c r="B17" s="99" t="n">
        <v>0.3</v>
      </c>
      <c r="C17" t="inlineStr">
        <is>
          <t>h⁻¹</t>
        </is>
      </c>
      <c r="D17" t="inlineStr">
        <is>
          <t>Stage 2 §10 — faixa 0,20–0,50</t>
        </is>
      </c>
    </row>
    <row r="18">
      <c r="A18" t="inlineStr">
        <is>
          <t>Constante cinética Região B (k_app,B)</t>
        </is>
      </c>
      <c r="B18" s="99" t="n">
        <v>0.08</v>
      </c>
      <c r="C18" t="inlineStr">
        <is>
          <t>h⁻¹</t>
        </is>
      </c>
      <c r="D18" t="inlineStr">
        <is>
          <t>Stage 2 §13 — faixa 0,05–0,15</t>
        </is>
      </c>
    </row>
    <row r="19">
      <c r="A19" t="inlineStr">
        <is>
          <t>Fator estequiométrico H₂ (f_H₂)</t>
        </is>
      </c>
      <c r="B19" s="99" t="n">
        <v>0.05</v>
      </c>
      <c r="C19" t="inlineStr">
        <is>
          <t>kg H₂/kg DQO</t>
        </is>
      </c>
      <c r="D19" t="inlineStr">
        <is>
          <t>EXPLORATÓRIO — variar 0,02 a 0,10</t>
        </is>
      </c>
    </row>
    <row r="20">
      <c r="A20" t="inlineStr">
        <is>
          <t>Rendimento de CH₄ (Y_CH₄)</t>
        </is>
      </c>
      <c r="B20" s="99" t="n">
        <v>0.3</v>
      </c>
      <c r="C20" t="inlineStr">
        <is>
          <t>Nm³CH₄/kg DQO</t>
        </is>
      </c>
      <c r="D20" t="inlineStr">
        <is>
          <t>Stage 2 §13 — faixa 0,25–0,32</t>
        </is>
      </c>
    </row>
    <row r="22">
      <c r="A22" s="96" t="inlineStr">
        <is>
          <t>ESTIMATIVAS PRELIMINARES (validação cruzada com planilha Vinícius)</t>
        </is>
      </c>
      <c r="B22" s="97" t="n"/>
      <c r="C22" s="97" t="n"/>
      <c r="D22" s="98" t="n"/>
    </row>
    <row r="23">
      <c r="A23" t="inlineStr">
        <is>
          <t>Volume teórico Região A (V_A = A × h_A)</t>
        </is>
      </c>
      <c r="B23" s="100">
        <f>'1_Geometria'!C13*'1_Geometria'!C12*0.6</f>
        <v/>
      </c>
      <c r="C23" t="inlineStr">
        <is>
          <t>m³</t>
        </is>
      </c>
      <c r="D23" t="inlineStr">
        <is>
          <t>60% × V_reator</t>
        </is>
      </c>
    </row>
    <row r="24">
      <c r="A24" t="inlineStr">
        <is>
          <t>Volume teórico Região B (V_B = A × (h_B − h_A))</t>
        </is>
      </c>
      <c r="B24" s="100">
        <f>'1_Geometria'!C13*'1_Geometria'!C12*(0.95-0.6)</f>
        <v/>
      </c>
      <c r="C24" t="inlineStr">
        <is>
          <t>m³</t>
        </is>
      </c>
      <c r="D24" t="inlineStr">
        <is>
          <t>35% × V_reator</t>
        </is>
      </c>
    </row>
    <row r="25">
      <c r="A25" t="inlineStr">
        <is>
          <t>Taxa de consumo DQO Região A (r_DQO,A)</t>
        </is>
      </c>
      <c r="B25" s="100">
        <f>B17/3600*B15*B23</f>
        <v/>
      </c>
      <c r="C25" t="inlineStr">
        <is>
          <t>kg/s</t>
        </is>
      </c>
      <c r="D25">
        <f> k_app,A × S_DQO × V_A  (assumindo S_DQO constante)</f>
        <v/>
      </c>
    </row>
    <row r="26">
      <c r="A26" t="inlineStr">
        <is>
          <t>Taxa de consumo DQO Região B (r_DQO,B)</t>
        </is>
      </c>
      <c r="B26" s="100">
        <f>B18/3600*B15*0.3*B24</f>
        <v/>
      </c>
      <c r="C26" t="inlineStr">
        <is>
          <t>kg/s</t>
        </is>
      </c>
      <c r="D26" t="inlineStr">
        <is>
          <t>S_DQO,res ≈ 30% S_DQO,in</t>
        </is>
      </c>
    </row>
    <row r="27">
      <c r="A27" t="inlineStr">
        <is>
          <t>Taxa H₂ estimada (r_H₂ = f_H₂ × r_DQO,A)</t>
        </is>
      </c>
      <c r="B27" s="100">
        <f>B19*B25</f>
        <v/>
      </c>
      <c r="C27" t="inlineStr">
        <is>
          <t>kg/s</t>
        </is>
      </c>
      <c r="D27" t="inlineStr">
        <is>
          <t>Stage 2 §11 — variável de resposta</t>
        </is>
      </c>
    </row>
    <row r="28">
      <c r="A28" t="inlineStr">
        <is>
          <t>Produção diária H₂</t>
        </is>
      </c>
      <c r="B28" s="100">
        <f>B27*86400</f>
        <v/>
      </c>
      <c r="C28" t="inlineStr">
        <is>
          <t>kg/d</t>
        </is>
      </c>
      <c r="D28" t="inlineStr">
        <is>
          <t>Para conferência com Excel Vinícius</t>
        </is>
      </c>
    </row>
    <row r="29">
      <c r="A29" t="inlineStr">
        <is>
          <t>Produção volumétrica H₂ (ρ_H₂=0.0899 kg/Nm³)</t>
        </is>
      </c>
      <c r="B29" s="100">
        <f>B28/0.0899</f>
        <v/>
      </c>
      <c r="C29" t="inlineStr">
        <is>
          <t>Nm³/d</t>
        </is>
      </c>
      <c r="D29" t="inlineStr">
        <is>
          <t>1 kg H₂ ≈ 11,12 Nm³</t>
        </is>
      </c>
    </row>
    <row r="30">
      <c r="A30" t="inlineStr">
        <is>
          <t>Taxa CH₄ estimada (r_CH₄ = Y_CH₄ × r_DQO,B × ρ_CH₄)</t>
        </is>
      </c>
      <c r="B30" s="100">
        <f>B20*B26*0.668</f>
        <v/>
      </c>
      <c r="C30" t="inlineStr">
        <is>
          <t>kg/s</t>
        </is>
      </c>
      <c r="D30" t="inlineStr">
        <is>
          <t>ρ_CH₄ = 0,668 kg/Nm³</t>
        </is>
      </c>
    </row>
    <row r="31">
      <c r="A31" t="inlineStr">
        <is>
          <t>Produção diária CH₄ volumétrica</t>
        </is>
      </c>
      <c r="B31" s="100">
        <f>B20*B26*86400</f>
        <v/>
      </c>
      <c r="C31" t="inlineStr">
        <is>
          <t>Nm³/d</t>
        </is>
      </c>
    </row>
    <row r="33">
      <c r="A33" s="104" t="inlineStr">
        <is>
          <t>KPI PRINCIPAL — H₂/DQO (objetivo do Vinícius)</t>
        </is>
      </c>
      <c r="B33" s="97" t="n"/>
      <c r="C33" s="97" t="n"/>
      <c r="D33" s="98" t="n"/>
    </row>
    <row r="34">
      <c r="A34" t="inlineStr">
        <is>
          <t>Eficiência kg H₂/kg DQO afluente (KPI 1)</t>
        </is>
      </c>
      <c r="B34" s="100">
        <f>B28/B16</f>
        <v/>
      </c>
      <c r="C34" t="inlineStr">
        <is>
          <t>kg H₂/kg DQO</t>
        </is>
      </c>
      <c r="D34" t="inlineStr">
        <is>
          <t>Stage 2 §17 — métrica principal</t>
        </is>
      </c>
    </row>
    <row r="35">
      <c r="A35" t="inlineStr">
        <is>
          <t>Eficiência kg H₂/kg DQO consumida na Região A (KPI 2)</t>
        </is>
      </c>
      <c r="B35" s="100">
        <f>B27/(B25*1.0)</f>
        <v/>
      </c>
      <c r="C35" t="inlineStr">
        <is>
          <t>kg H₂/kg DQO</t>
        </is>
      </c>
      <c r="D35" t="inlineStr">
        <is>
          <t>Eficiência intrínseca da fermentação</t>
        </is>
      </c>
    </row>
    <row r="37" ht="80" customHeight="1">
      <c r="A37" s="105" t="inlineStr">
        <is>
          <t>1. CFD entrega via Aba 10: Q_DQO_in, Q_gas_total, vazões por DN50, volumes reais por zona (descontando zonas mortas), tempo de residência, fração de fase em cada zona
2. Esta aba calcula KPIs preliminares usando Stage 2 §10/§13
3. Planilha Excel do Vinícius compara e calibra f_H₂
4. Comparação entre cenários C0/C1/C2 (Stage 2 §15) + C0/C1/C2/C3 (ângulos bocal)</t>
        </is>
      </c>
      <c r="B37" s="97" t="n"/>
      <c r="C37" s="97" t="n"/>
      <c r="D37" s="97" t="n"/>
      <c r="E37" s="98" t="n"/>
    </row>
    <row r="39">
      <c r="A39" s="102" t="inlineStr">
        <is>
          <t>★ v4.0 — ATUALIZAÇÃO DAS SAÍDAS DOS SEPARADORES</t>
        </is>
      </c>
      <c r="B39" s="97" t="n"/>
      <c r="C39" s="97" t="n"/>
      <c r="D39" s="98" t="n"/>
    </row>
    <row r="40" ht="75" customHeight="1">
      <c r="A40" s="101" t="inlineStr">
        <is>
          <t>Sep. 20/40/60% — DN50 lateral na parede (3 saídas a 0°, multifásico)
Sep. 95% — saída INTERNA para câmara de gás do domo (sem DN50 lateral)
Isso significa que o gás coletado no Sep. 95% sobe diretamente para o domo
e sai pelo Outlet_Biogas central. NÃO há furo na parede em z=13,87m.</t>
        </is>
      </c>
    </row>
  </sheetData>
  <mergeCells count="13">
    <mergeCell ref="A37:D37"/>
    <mergeCell ref="B1:E1"/>
    <mergeCell ref="A22:D22"/>
    <mergeCell ref="B12:E12"/>
    <mergeCell ref="A4:D4"/>
    <mergeCell ref="B13:E13"/>
    <mergeCell ref="A39:D39"/>
    <mergeCell ref="A37:E37"/>
    <mergeCell ref="B2:E2"/>
    <mergeCell ref="A11:D11"/>
    <mergeCell ref="A33:D33"/>
    <mergeCell ref="A40:E40"/>
    <mergeCell ref="A14:D1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32" customWidth="1" min="3" max="3"/>
    <col width="28" customWidth="1" min="4" max="4"/>
    <col width="40" customWidth="1" min="5" max="5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10 — REPORTS &amp; MONITORS NO STAR-CCM+ (Pós-processamento)</t>
        </is>
      </c>
    </row>
    <row r="4">
      <c r="A4" s="106" t="inlineStr">
        <is>
          <t>Report Name</t>
        </is>
      </c>
      <c r="B4" s="106" t="inlineStr">
        <is>
          <t>Tipo (STAR)</t>
        </is>
      </c>
      <c r="C4" s="106" t="inlineStr">
        <is>
          <t>Field Function / Definition</t>
        </is>
      </c>
      <c r="D4" s="106" t="inlineStr">
        <is>
          <t>Superfície/Volume</t>
        </is>
      </c>
      <c r="E4" s="106" t="inlineStr">
        <is>
          <t>Output / Uso</t>
        </is>
      </c>
    </row>
    <row r="5">
      <c r="A5" s="107">
        <f>== ENTRADAS DE MASSA ===</f>
        <v/>
      </c>
    </row>
    <row r="6">
      <c r="A6" s="108" t="inlineStr">
        <is>
          <t>Q_DQO_in_nozzles</t>
        </is>
      </c>
      <c r="B6" s="108" t="inlineStr">
        <is>
          <t>Mass Flow</t>
        </is>
      </c>
      <c r="C6" s="108" t="inlineStr">
        <is>
          <t>ρ_L × velocity (faseLíquida)</t>
        </is>
      </c>
      <c r="D6" s="108" t="inlineStr">
        <is>
          <t>6× Inlet_Nozzle_01..06</t>
        </is>
      </c>
      <c r="E6" s="108" t="inlineStr">
        <is>
          <t>kg/s líquido entrando</t>
        </is>
      </c>
    </row>
    <row r="7">
      <c r="A7" s="108" t="inlineStr">
        <is>
          <t>Q_DQO_in_DN100</t>
        </is>
      </c>
      <c r="B7" s="108" t="inlineStr">
        <is>
          <t>Mass Flow</t>
        </is>
      </c>
      <c r="C7" s="108" t="inlineStr">
        <is>
          <t>ρ_L × velocity (faseLíquida)</t>
        </is>
      </c>
      <c r="D7" s="108" t="inlineStr">
        <is>
          <t>Inlet_DN100_top</t>
        </is>
      </c>
      <c r="E7" s="108" t="inlineStr">
        <is>
          <t>kg/s recirculação</t>
        </is>
      </c>
    </row>
    <row r="8">
      <c r="A8" s="108" t="inlineStr">
        <is>
          <t>Q_gas_in_diffusers</t>
        </is>
      </c>
      <c r="B8" s="108" t="inlineStr">
        <is>
          <t>Mass Flow Sum</t>
        </is>
      </c>
      <c r="C8" s="108" t="inlineStr">
        <is>
          <t>ṁ_gas (Mass Flow Inlet BC)</t>
        </is>
      </c>
      <c r="D8" s="108" t="inlineStr">
        <is>
          <t>12× Inlet_Diffuser</t>
        </is>
      </c>
      <c r="E8" s="108" t="inlineStr">
        <is>
          <t>kg/s biogás recirc.</t>
        </is>
      </c>
    </row>
    <row r="9">
      <c r="A9" s="107">
        <f>== SAÍDAS DE MASSA ===</f>
        <v/>
      </c>
    </row>
    <row r="10">
      <c r="A10" s="108" t="inlineStr">
        <is>
          <t>Q_gas_top</t>
        </is>
      </c>
      <c r="B10" s="108" t="inlineStr">
        <is>
          <t>Mass Flow</t>
        </is>
      </c>
      <c r="C10" s="108" t="inlineStr">
        <is>
          <t>ρ_G × velocity × α_G</t>
        </is>
      </c>
      <c r="D10" s="108" t="inlineStr">
        <is>
          <t>Outlet_Biogas (DN100 topo)</t>
        </is>
      </c>
      <c r="E10" s="108" t="inlineStr">
        <is>
          <t>kg/s biogás saindo</t>
        </is>
      </c>
    </row>
    <row r="11">
      <c r="A11" s="108" t="inlineStr">
        <is>
          <t>Q_eff_lateral</t>
        </is>
      </c>
      <c r="B11" s="108" t="inlineStr">
        <is>
          <t>Mass Flow</t>
        </is>
      </c>
      <c r="C11" s="108" t="inlineStr">
        <is>
          <t>ρ_L × velocity × α_L</t>
        </is>
      </c>
      <c r="D11" s="108" t="inlineStr">
        <is>
          <t>Outlet_Effluent (DN100 lat)</t>
        </is>
      </c>
      <c r="E11" s="108" t="inlineStr">
        <is>
          <t>kg/s efluente saindo</t>
        </is>
      </c>
    </row>
    <row r="12">
      <c r="A12" s="108" t="inlineStr">
        <is>
          <t>Q_DN50_20</t>
        </is>
      </c>
      <c r="B12" s="108" t="inlineStr">
        <is>
          <t>Mass Flow</t>
        </is>
      </c>
      <c r="C12" s="108" t="inlineStr">
        <is>
          <t>ρ × velocity (multifásico)</t>
        </is>
      </c>
      <c r="D12" s="108" t="inlineStr">
        <is>
          <t>Outlet_DN50_20</t>
        </is>
      </c>
      <c r="E12" s="108" t="inlineStr">
        <is>
          <t>Captura sep. 20%</t>
        </is>
      </c>
    </row>
    <row r="13">
      <c r="A13" s="108" t="inlineStr">
        <is>
          <t>Q_DN50_40</t>
        </is>
      </c>
      <c r="B13" s="108" t="inlineStr">
        <is>
          <t>Mass Flow</t>
        </is>
      </c>
      <c r="C13" s="108" t="inlineStr">
        <is>
          <t>ρ × velocity (multifásico)</t>
        </is>
      </c>
      <c r="D13" s="108" t="inlineStr">
        <is>
          <t>Outlet_DN50_40</t>
        </is>
      </c>
      <c r="E13" s="108" t="inlineStr">
        <is>
          <t>Captura sep. 40%</t>
        </is>
      </c>
    </row>
    <row r="14">
      <c r="A14" s="108" t="inlineStr">
        <is>
          <t>Q_DN50_60</t>
        </is>
      </c>
      <c r="B14" s="108" t="inlineStr">
        <is>
          <t>Mass Flow</t>
        </is>
      </c>
      <c r="C14" s="108" t="inlineStr">
        <is>
          <t>ρ × velocity (multifásico)</t>
        </is>
      </c>
      <c r="D14" s="108" t="inlineStr">
        <is>
          <t>Outlet_DN50_60</t>
        </is>
      </c>
      <c r="E14" s="108" t="inlineStr">
        <is>
          <t>Captura sep. 60%</t>
        </is>
      </c>
    </row>
    <row r="15">
      <c r="A15" s="112" t="inlineStr">
        <is>
          <t>Q_DN50_95 ★ REMOVIDO v4.0</t>
        </is>
      </c>
      <c r="B15" s="108" t="inlineStr">
        <is>
          <t>Mass Flow</t>
        </is>
      </c>
      <c r="C15" s="108" t="inlineStr">
        <is>
          <t>ρ × velocity (multifásico)</t>
        </is>
      </c>
      <c r="D15" s="108" t="inlineStr">
        <is>
          <t>Outlet_DN50_95</t>
        </is>
      </c>
      <c r="E15" s="108" t="inlineStr">
        <is>
          <t>Sep. 95% agora sai INTERNO p/ domo — não existe mais DN50 lateral</t>
        </is>
      </c>
    </row>
    <row r="16">
      <c r="A16" s="107">
        <f>== VOLUMES DAS REGIÕES (via Field Functions) ===</f>
        <v/>
      </c>
    </row>
    <row r="17">
      <c r="A17" s="108" t="inlineStr">
        <is>
          <t>Volume_Zone_A</t>
        </is>
      </c>
      <c r="B17" s="108" t="inlineStr">
        <is>
          <t>Volume Integral</t>
        </is>
      </c>
      <c r="C17" s="108" t="inlineStr">
        <is>
          <t>Zone_A</t>
        </is>
      </c>
      <c r="D17" s="108" t="inlineStr">
        <is>
          <t>Region (Reactor_Fluid)</t>
        </is>
      </c>
      <c r="E17" s="108" t="inlineStr">
        <is>
          <t>m³ úteis da Zona A</t>
        </is>
      </c>
    </row>
    <row r="18">
      <c r="A18" s="108" t="inlineStr">
        <is>
          <t>Volume_Zone_B</t>
        </is>
      </c>
      <c r="B18" s="108" t="inlineStr">
        <is>
          <t>Volume Integral</t>
        </is>
      </c>
      <c r="C18" s="108" t="inlineStr">
        <is>
          <t>Zone_B</t>
        </is>
      </c>
      <c r="D18" s="108" t="inlineStr">
        <is>
          <t>Region (Reactor_Fluid)</t>
        </is>
      </c>
      <c r="E18" s="108" t="inlineStr">
        <is>
          <t>m³ úteis da Zona B</t>
        </is>
      </c>
    </row>
    <row r="19">
      <c r="A19" s="108" t="inlineStr">
        <is>
          <t>Volume_DeadZones_A</t>
        </is>
      </c>
      <c r="B19" s="108" t="inlineStr">
        <is>
          <t>Volume Integral</t>
        </is>
      </c>
      <c r="C19" s="108" t="inlineStr">
        <is>
          <t>Zone_A × (mag(V) &lt; 0.001)</t>
        </is>
      </c>
      <c r="D19" s="108" t="inlineStr">
        <is>
          <t>Region</t>
        </is>
      </c>
      <c r="E19" s="108" t="inlineStr">
        <is>
          <t>m³ de zona morta na A</t>
        </is>
      </c>
    </row>
    <row r="20">
      <c r="A20" s="108" t="inlineStr">
        <is>
          <t>Volume_DeadZones_B</t>
        </is>
      </c>
      <c r="B20" s="108" t="inlineStr">
        <is>
          <t>Volume Integral</t>
        </is>
      </c>
      <c r="C20" s="108" t="inlineStr">
        <is>
          <t>Zone_B × (mag(V) &lt; 0.001)</t>
        </is>
      </c>
      <c r="D20" s="108" t="inlineStr">
        <is>
          <t>Region</t>
        </is>
      </c>
      <c r="E20" s="108" t="inlineStr">
        <is>
          <t>m³ de zona morta na B</t>
        </is>
      </c>
    </row>
    <row r="21">
      <c r="A21" s="107">
        <f>== DISTRIBUIÇÃO DE FASES POR ZONA ===</f>
        <v/>
      </c>
    </row>
    <row r="22">
      <c r="A22" s="108" t="inlineStr">
        <is>
          <t>Avg_alpha_lodo_A</t>
        </is>
      </c>
      <c r="B22" s="108" t="inlineStr">
        <is>
          <t>Vol-Weighted Avg</t>
        </is>
      </c>
      <c r="C22" s="108" t="inlineStr">
        <is>
          <t>Zone_A × α_lodo</t>
        </is>
      </c>
      <c r="D22" s="108" t="inlineStr">
        <is>
          <t>Region</t>
        </is>
      </c>
      <c r="E22" s="108" t="inlineStr">
        <is>
          <t>Fração média lodo Zona A</t>
        </is>
      </c>
    </row>
    <row r="23">
      <c r="A23" s="108" t="inlineStr">
        <is>
          <t>Avg_alpha_lodo_B</t>
        </is>
      </c>
      <c r="B23" s="108" t="inlineStr">
        <is>
          <t>Vol-Weighted Avg</t>
        </is>
      </c>
      <c r="C23" s="108" t="inlineStr">
        <is>
          <t>Zone_B × α_lodo</t>
        </is>
      </c>
      <c r="D23" s="108" t="inlineStr">
        <is>
          <t>Region</t>
        </is>
      </c>
      <c r="E23" s="108" t="inlineStr">
        <is>
          <t>Fração média lodo Zona B</t>
        </is>
      </c>
    </row>
    <row r="24">
      <c r="A24" s="108" t="inlineStr">
        <is>
          <t>Avg_alpha_gas_A</t>
        </is>
      </c>
      <c r="B24" s="108" t="inlineStr">
        <is>
          <t>Vol-Weighted Avg</t>
        </is>
      </c>
      <c r="C24" s="108" t="inlineStr">
        <is>
          <t>Zone_A × α_gas</t>
        </is>
      </c>
      <c r="D24" s="108" t="inlineStr">
        <is>
          <t>Region</t>
        </is>
      </c>
      <c r="E24" s="108" t="inlineStr">
        <is>
          <t>Fração média gás Zona A</t>
        </is>
      </c>
    </row>
    <row r="25">
      <c r="A25" s="108" t="inlineStr">
        <is>
          <t>Avg_alpha_gas_B</t>
        </is>
      </c>
      <c r="B25" s="108" t="inlineStr">
        <is>
          <t>Vol-Weighted Avg</t>
        </is>
      </c>
      <c r="C25" s="108" t="inlineStr">
        <is>
          <t>Zone_B × α_gas</t>
        </is>
      </c>
      <c r="D25" s="108" t="inlineStr">
        <is>
          <t>Region</t>
        </is>
      </c>
      <c r="E25" s="108" t="inlineStr">
        <is>
          <t>Fração média gás Zona B</t>
        </is>
      </c>
    </row>
    <row r="26">
      <c r="A26" s="108" t="inlineStr">
        <is>
          <t>Avg_alpha_biochar_A</t>
        </is>
      </c>
      <c r="B26" s="108" t="inlineStr">
        <is>
          <t>Vol-Weighted Avg</t>
        </is>
      </c>
      <c r="C26" s="108" t="inlineStr">
        <is>
          <t>Zone_A × α_biochar</t>
        </is>
      </c>
      <c r="D26" s="108" t="inlineStr">
        <is>
          <t>Region</t>
        </is>
      </c>
      <c r="E26" s="108" t="inlineStr">
        <is>
          <t>Fração biochar Zona A</t>
        </is>
      </c>
    </row>
    <row r="27">
      <c r="A27" s="107">
        <f>== CISALHAMENTO E HIDRODINÂMICA ===</f>
        <v/>
      </c>
    </row>
    <row r="28">
      <c r="A28" s="108" t="inlineStr">
        <is>
          <t>Avg_shear_A</t>
        </is>
      </c>
      <c r="B28" s="108" t="inlineStr">
        <is>
          <t>Vol-Weighted Avg</t>
        </is>
      </c>
      <c r="C28" s="108" t="inlineStr">
        <is>
          <t>Zone_A × strainRate</t>
        </is>
      </c>
      <c r="D28" s="108" t="inlineStr">
        <is>
          <t>Region</t>
        </is>
      </c>
      <c r="E28" s="108" t="inlineStr">
        <is>
          <t>Cisalhamento médio na A (Wu 2015: 57–97% por gás)</t>
        </is>
      </c>
    </row>
    <row r="29">
      <c r="A29" s="108" t="inlineStr">
        <is>
          <t>Avg_shear_B</t>
        </is>
      </c>
      <c r="B29" s="108" t="inlineStr">
        <is>
          <t>Vol-Weighted Avg</t>
        </is>
      </c>
      <c r="C29" s="108" t="inlineStr">
        <is>
          <t>Zone_B × strainRate</t>
        </is>
      </c>
      <c r="D29" s="108" t="inlineStr">
        <is>
          <t>Region</t>
        </is>
      </c>
      <c r="E29" s="108" t="inlineStr">
        <is>
          <t>Cisalhamento médio na B</t>
        </is>
      </c>
    </row>
    <row r="30">
      <c r="A30" s="108" t="inlineStr">
        <is>
          <t>Max_velocity_global</t>
        </is>
      </c>
      <c r="B30" s="108" t="inlineStr">
        <is>
          <t>Maximum</t>
        </is>
      </c>
      <c r="C30" s="108" t="inlineStr">
        <is>
          <t>mag(velocity)</t>
        </is>
      </c>
      <c r="D30" s="108" t="inlineStr">
        <is>
          <t>Region</t>
        </is>
      </c>
      <c r="E30" s="108" t="inlineStr">
        <is>
          <t>Pico de velocidade</t>
        </is>
      </c>
    </row>
    <row r="31">
      <c r="A31" s="108" t="inlineStr">
        <is>
          <t>Avg_velocity_axial</t>
        </is>
      </c>
      <c r="B31" s="108" t="inlineStr">
        <is>
          <t>Vol-Weighted Avg</t>
        </is>
      </c>
      <c r="C31" s="108" t="inlineStr">
        <is>
          <t>velocity[2]</t>
        </is>
      </c>
      <c r="D31" s="108" t="inlineStr">
        <is>
          <t>Region</t>
        </is>
      </c>
      <c r="E31" s="108" t="inlineStr">
        <is>
          <t>Vel. axial média</t>
        </is>
      </c>
    </row>
    <row r="32">
      <c r="A32" s="107">
        <f>== TEMPO DE RESIDÊNCIA (DTR via passive scalar) ===</f>
        <v/>
      </c>
    </row>
    <row r="33">
      <c r="A33" s="108" t="inlineStr">
        <is>
          <t>DTR_inlet_pulse</t>
        </is>
      </c>
      <c r="B33" s="108" t="inlineStr">
        <is>
          <t>Passive Scalar</t>
        </is>
      </c>
      <c r="C33" s="108" t="inlineStr">
        <is>
          <t>Pulso unitário em t=0 nos Inlets</t>
        </is>
      </c>
      <c r="D33" s="108" t="inlineStr">
        <is>
          <t>Outlet_Effluent</t>
        </is>
      </c>
      <c r="E33" s="108" t="inlineStr">
        <is>
          <t>Curva E(t) → tempo médio τ</t>
        </is>
      </c>
    </row>
    <row r="34">
      <c r="A34" s="108" t="inlineStr">
        <is>
          <t>MRT_zone_A</t>
        </is>
      </c>
      <c r="B34" s="108" t="inlineStr">
        <is>
          <t>Passive Scalar</t>
        </is>
      </c>
      <c r="C34" s="108" t="inlineStr">
        <is>
          <t>Tempo médio na Zona A</t>
        </is>
      </c>
      <c r="D34" s="108" t="inlineStr">
        <is>
          <t>Region (Zone_A=1)</t>
        </is>
      </c>
      <c r="E34" s="108" t="inlineStr">
        <is>
          <t>Tempo de residência médio</t>
        </is>
      </c>
    </row>
    <row r="35">
      <c r="A35" s="107">
        <f>== PRESSÃO E PERDA DE CARGA ===</f>
        <v/>
      </c>
    </row>
    <row r="36">
      <c r="A36" s="108" t="inlineStr">
        <is>
          <t>DeltaP_total</t>
        </is>
      </c>
      <c r="B36" s="108" t="inlineStr">
        <is>
          <t>Expression</t>
        </is>
      </c>
      <c r="C36" s="108" t="inlineStr">
        <is>
          <t>P(z=0) - P(z=14.6)</t>
        </is>
      </c>
      <c r="D36" s="108" t="inlineStr">
        <is>
          <t>Region (line probe)</t>
        </is>
      </c>
      <c r="E36" s="108" t="inlineStr">
        <is>
          <t>Pa — perda de carga total</t>
        </is>
      </c>
    </row>
    <row r="37">
      <c r="A37" s="108" t="inlineStr">
        <is>
          <t>DeltaP_separator_20</t>
        </is>
      </c>
      <c r="B37" s="108" t="inlineStr">
        <is>
          <t>Surface Avg diff</t>
        </is>
      </c>
      <c r="C37" s="108" t="inlineStr">
        <is>
          <t>P_below - P_above sep.20%</t>
        </is>
      </c>
      <c r="D37" s="108" t="inlineStr">
        <is>
          <t>Baffle_Separator_20</t>
        </is>
      </c>
      <c r="E37" s="108" t="inlineStr">
        <is>
          <t>Pa por separador</t>
        </is>
      </c>
    </row>
    <row r="38">
      <c r="A38" s="107">
        <f>== KPI FINAL (calculado em Expression Report) ===</f>
        <v/>
      </c>
    </row>
    <row r="39">
      <c r="A39" s="108" t="inlineStr">
        <is>
          <t>Eff_H2_per_DQO</t>
        </is>
      </c>
      <c r="B39" s="108" t="inlineStr">
        <is>
          <t>Expression</t>
        </is>
      </c>
      <c r="C39" s="108" t="inlineStr">
        <is>
          <t>($Q_H2_top × 86400) / ($Q_DQO_in_nozzles × 86400)</t>
        </is>
      </c>
      <c r="D39" s="108" t="inlineStr">
        <is>
          <t>—</t>
        </is>
      </c>
      <c r="E39" s="108" t="inlineStr">
        <is>
          <t>★ kg H₂/kg DQO afluente — KPI principal Vinícius</t>
        </is>
      </c>
    </row>
    <row r="40">
      <c r="A40" s="108" t="inlineStr">
        <is>
          <t>Eff_gas_capture_intermediate</t>
        </is>
      </c>
      <c r="B40" s="108" t="inlineStr">
        <is>
          <t>Expression</t>
        </is>
      </c>
      <c r="C40" s="108" t="inlineStr">
        <is>
          <t>($Q_DN50_20+$Q_40+$Q_60)/$Q_gas_in</t>
        </is>
      </c>
      <c r="D40" s="108" t="inlineStr">
        <is>
          <t>—</t>
        </is>
      </c>
      <c r="E40" s="108" t="inlineStr">
        <is>
          <t>% gás capturado nos sep. intermediários</t>
        </is>
      </c>
    </row>
    <row r="41">
      <c r="A41" s="108" t="inlineStr">
        <is>
          <t>DeadZone_fraction_A</t>
        </is>
      </c>
      <c r="B41" s="108" t="inlineStr">
        <is>
          <t>Expression</t>
        </is>
      </c>
      <c r="C41" s="108" t="inlineStr">
        <is>
          <t>$Volume_DeadZones_A / $Volume_Zone_A</t>
        </is>
      </c>
      <c r="D41" s="108" t="inlineStr">
        <is>
          <t>—</t>
        </is>
      </c>
      <c r="E41" s="108" t="inlineStr">
        <is>
          <t>% de volume morto na Zona A</t>
        </is>
      </c>
    </row>
    <row r="43">
      <c r="A43" s="102" t="inlineStr">
        <is>
          <t>EXPORTAÇÃO PARA EXCEL (planilha Vinícius)</t>
        </is>
      </c>
      <c r="B43" s="97" t="n"/>
      <c r="C43" s="97" t="n"/>
      <c r="D43" s="98" t="n"/>
    </row>
    <row r="44" ht="75" customHeight="1">
      <c r="A44" s="101" t="inlineStr">
        <is>
          <t>No STAR-CCM+: Tools &gt; Reports &gt; Update Frequency = a cada N iterações (e.g., 50).
Solution &gt; Stopping Criteria &gt; Save Monitor Data &gt; Format = .csv.
Arquivos .csv exportados serão importados na planilha Vinícius via tabela dinâmica
para cruzamento com os cenários C0/C1/C2 (Stage 2) + 70°/75°/80°/85° (Vinícius 18:04).</t>
        </is>
      </c>
    </row>
  </sheetData>
  <mergeCells count="12">
    <mergeCell ref="A21:E21"/>
    <mergeCell ref="A35:E35"/>
    <mergeCell ref="B1:E1"/>
    <mergeCell ref="A38:E38"/>
    <mergeCell ref="A16:E16"/>
    <mergeCell ref="A5:E5"/>
    <mergeCell ref="A43:D43"/>
    <mergeCell ref="A32:E32"/>
    <mergeCell ref="B2:E2"/>
    <mergeCell ref="A44:E44"/>
    <mergeCell ref="A9:E9"/>
    <mergeCell ref="A27:E2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30" customWidth="1" min="7" max="7"/>
  </cols>
  <sheetData>
    <row r="1">
      <c r="B1" s="94" t="inlineStr">
        <is>
          <t>FIORA IC — Planilha de Setup CFD/STAR-CCM+  |  v3.0</t>
        </is>
      </c>
    </row>
    <row r="2">
      <c r="B2" s="95" t="inlineStr">
        <is>
          <t>ABA 11 — MATRIZ CONSOLIDADA DE CENÁRIOS DE SIMULAÇÃO</t>
        </is>
      </c>
    </row>
    <row r="4" ht="30" customHeight="1">
      <c r="A4" s="109" t="inlineStr">
        <is>
          <t>ID</t>
        </is>
      </c>
      <c r="B4" s="109" t="inlineStr">
        <is>
          <t>NOZZLE_TANG_ANGLE</t>
        </is>
      </c>
      <c r="C4" s="109" t="inlineStr">
        <is>
          <t>Módulo Externo</t>
        </is>
      </c>
      <c r="D4" s="109" t="inlineStr">
        <is>
          <t>DQO_in [mg/L]</t>
        </is>
      </c>
      <c r="E4" s="109" t="inlineStr">
        <is>
          <t>Φ (k_app,A)</t>
        </is>
      </c>
      <c r="F4" s="109" t="inlineStr">
        <is>
          <t>Status / Prioridade</t>
        </is>
      </c>
      <c r="G4" s="109" t="inlineStr">
        <is>
          <t>Notas</t>
        </is>
      </c>
    </row>
    <row r="5">
      <c r="A5" s="110" t="inlineStr">
        <is>
          <t>C0</t>
        </is>
      </c>
      <c r="B5" s="110" t="inlineStr">
        <is>
          <t>80°</t>
        </is>
      </c>
      <c r="C5" s="110" t="inlineStr">
        <is>
          <t>nenhum</t>
        </is>
      </c>
      <c r="D5" s="110" t="n">
        <v>25000</v>
      </c>
      <c r="E5" s="110" t="n">
        <v>1</v>
      </c>
      <c r="F5" s="110" t="inlineStr">
        <is>
          <t>★ CASO BASE — rodar primeiro</t>
        </is>
      </c>
      <c r="G5" s="110" t="inlineStr">
        <is>
          <t>Vinícius 16/05 18:04 — caso base oficial</t>
        </is>
      </c>
    </row>
    <row r="6">
      <c r="A6" s="108" t="inlineStr">
        <is>
          <t>C0_M30</t>
        </is>
      </c>
      <c r="B6" s="108" t="inlineStr">
        <is>
          <t>80°</t>
        </is>
      </c>
      <c r="C6" s="108" t="inlineStr">
        <is>
          <t>M30 (30 s)</t>
        </is>
      </c>
      <c r="D6" s="108" t="n">
        <v>25000</v>
      </c>
      <c r="E6" s="108" t="n">
        <v>1.1</v>
      </c>
      <c r="F6" s="108" t="inlineStr">
        <is>
          <t>Stage 2 §14 — sensibilidade</t>
        </is>
      </c>
      <c r="G6" s="108" t="inlineStr">
        <is>
          <t>Módulo externo de condicionamento da recirculação</t>
        </is>
      </c>
    </row>
    <row r="7">
      <c r="A7" s="108" t="inlineStr">
        <is>
          <t>C0_M60</t>
        </is>
      </c>
      <c r="B7" s="108" t="inlineStr">
        <is>
          <t>80°</t>
        </is>
      </c>
      <c r="C7" s="108" t="inlineStr">
        <is>
          <t>M60 (60 s)</t>
        </is>
      </c>
      <c r="D7" s="108" t="n">
        <v>25000</v>
      </c>
      <c r="E7" s="108" t="n">
        <v>1.18</v>
      </c>
      <c r="F7" s="108" t="inlineStr">
        <is>
          <t>Stage 2 §14 — sensibilidade</t>
        </is>
      </c>
      <c r="G7" s="108" t="inlineStr">
        <is>
          <t>Idem M30 com tempo de exposição maior</t>
        </is>
      </c>
    </row>
    <row r="8">
      <c r="A8" s="108" t="inlineStr">
        <is>
          <t>C1_75</t>
        </is>
      </c>
      <c r="B8" s="108" t="inlineStr">
        <is>
          <t>75°</t>
        </is>
      </c>
      <c r="C8" s="108" t="inlineStr">
        <is>
          <t>nenhum</t>
        </is>
      </c>
      <c r="D8" s="108" t="n">
        <v>25000</v>
      </c>
      <c r="E8" s="108" t="n">
        <v>1</v>
      </c>
      <c r="F8" s="108" t="inlineStr">
        <is>
          <t>Vinícius — sensibilidade bocal</t>
        </is>
      </c>
      <c r="G8" s="108" t="inlineStr">
        <is>
          <t>Swirl forte com leve componente radial</t>
        </is>
      </c>
    </row>
    <row r="9">
      <c r="A9" s="108" t="inlineStr">
        <is>
          <t>C2_70</t>
        </is>
      </c>
      <c r="B9" s="108" t="inlineStr">
        <is>
          <t>70°</t>
        </is>
      </c>
      <c r="C9" s="108" t="inlineStr">
        <is>
          <t>nenhum</t>
        </is>
      </c>
      <c r="D9" s="108" t="n">
        <v>25000</v>
      </c>
      <c r="E9" s="108" t="n">
        <v>1</v>
      </c>
      <c r="F9" s="108" t="inlineStr">
        <is>
          <t>Vinícius — sensibilidade bocal</t>
        </is>
      </c>
      <c r="G9" s="108" t="inlineStr">
        <is>
          <t>Mais radial, melhor distribuição, menor swirl</t>
        </is>
      </c>
    </row>
    <row r="10">
      <c r="A10" s="108" t="inlineStr">
        <is>
          <t>C3_85</t>
        </is>
      </c>
      <c r="B10" s="108" t="inlineStr">
        <is>
          <t>85°</t>
        </is>
      </c>
      <c r="C10" s="108" t="inlineStr">
        <is>
          <t>nenhum</t>
        </is>
      </c>
      <c r="D10" s="108" t="n">
        <v>25000</v>
      </c>
      <c r="E10" s="108" t="n">
        <v>1</v>
      </c>
      <c r="F10" s="108" t="inlineStr">
        <is>
          <t>Vinícius — sensibilidade bocal</t>
        </is>
      </c>
      <c r="G10" s="108" t="inlineStr">
        <is>
          <t>Quase tangente puro, swirl agressivo</t>
        </is>
      </c>
    </row>
    <row r="11">
      <c r="A11" s="108" t="inlineStr">
        <is>
          <t>C0_DQO_min</t>
        </is>
      </c>
      <c r="B11" s="108" t="inlineStr">
        <is>
          <t>80°</t>
        </is>
      </c>
      <c r="C11" s="108" t="inlineStr">
        <is>
          <t>nenhum</t>
        </is>
      </c>
      <c r="D11" s="108" t="n">
        <v>20000</v>
      </c>
      <c r="E11" s="108" t="n">
        <v>1</v>
      </c>
      <c r="F11" s="108" t="inlineStr">
        <is>
          <t>Stage 2 §2 — sensibilidade carga</t>
        </is>
      </c>
      <c r="G11" s="108" t="inlineStr">
        <is>
          <t>Limite inferior da faixa</t>
        </is>
      </c>
    </row>
    <row r="12">
      <c r="A12" s="108" t="inlineStr">
        <is>
          <t>C0_DQO_max</t>
        </is>
      </c>
      <c r="B12" s="108" t="inlineStr">
        <is>
          <t>80°</t>
        </is>
      </c>
      <c r="C12" s="108" t="inlineStr">
        <is>
          <t>nenhum</t>
        </is>
      </c>
      <c r="D12" s="108" t="n">
        <v>30000</v>
      </c>
      <c r="E12" s="108" t="n">
        <v>1</v>
      </c>
      <c r="F12" s="108" t="inlineStr">
        <is>
          <t>Stage 2 §2 — sensibilidade carga</t>
        </is>
      </c>
      <c r="G12" s="108" t="inlineStr">
        <is>
          <t>Limite superior da faixa</t>
        </is>
      </c>
    </row>
    <row r="13">
      <c r="A13" s="108" t="inlineStr">
        <is>
          <t>C0_kapp_min</t>
        </is>
      </c>
      <c r="B13" s="108" t="inlineStr">
        <is>
          <t>80°</t>
        </is>
      </c>
      <c r="C13" s="108" t="inlineStr">
        <is>
          <t>nenhum</t>
        </is>
      </c>
      <c r="D13" s="108" t="n">
        <v>25000</v>
      </c>
      <c r="E13" s="108" t="inlineStr">
        <is>
          <t>k=0,20 h⁻¹</t>
        </is>
      </c>
      <c r="F13" s="108" t="inlineStr">
        <is>
          <t>Stage 2 §10 — sens. cinética</t>
        </is>
      </c>
      <c r="G13" s="108" t="inlineStr">
        <is>
          <t>Limite inferior k_app,A — pós-proc.</t>
        </is>
      </c>
    </row>
    <row r="14">
      <c r="A14" s="108" t="inlineStr">
        <is>
          <t>C0_kapp_max</t>
        </is>
      </c>
      <c r="B14" s="108" t="inlineStr">
        <is>
          <t>80°</t>
        </is>
      </c>
      <c r="C14" s="108" t="inlineStr">
        <is>
          <t>nenhum</t>
        </is>
      </c>
      <c r="D14" s="108" t="n">
        <v>25000</v>
      </c>
      <c r="E14" s="108" t="inlineStr">
        <is>
          <t>k=0,50 h⁻¹</t>
        </is>
      </c>
      <c r="F14" s="108" t="inlineStr">
        <is>
          <t>Stage 2 §10 — sens. cinética</t>
        </is>
      </c>
      <c r="G14" s="108" t="inlineStr">
        <is>
          <t>Limite superior k_app,A — pós-proc.</t>
        </is>
      </c>
    </row>
    <row r="16">
      <c r="A16" s="104" t="inlineStr">
        <is>
          <t>TOTAL DE CENÁRIOS PLANEJADOS</t>
        </is>
      </c>
      <c r="B16" s="97" t="n"/>
      <c r="C16" s="97" t="n"/>
      <c r="D16" s="97" t="n"/>
      <c r="E16" s="97" t="n"/>
      <c r="F16" s="97" t="n"/>
      <c r="G16" s="98" t="n"/>
    </row>
    <row r="17">
      <c r="A17" t="inlineStr">
        <is>
          <t>Cenários geometria-dependente (re-rodar CAD)</t>
        </is>
      </c>
      <c r="B17" s="100" t="n">
        <v>4</v>
      </c>
      <c r="C17" t="inlineStr">
        <is>
          <t>casos</t>
        </is>
      </c>
      <c r="D17" t="inlineStr">
        <is>
          <t>C0, C1_75, C2_70, C3_85 — cada um requer .step novo</t>
        </is>
      </c>
    </row>
    <row r="18">
      <c r="A18" t="inlineStr">
        <is>
          <t>Cenários setup-dependente (mesma geometria)</t>
        </is>
      </c>
      <c r="B18" s="100" t="n">
        <v>4</v>
      </c>
      <c r="C18" t="inlineStr">
        <is>
          <t>casos</t>
        </is>
      </c>
      <c r="D18" t="inlineStr">
        <is>
          <t>M30, M60, DQO_min, DQO_max — só mudar parâmetros</t>
        </is>
      </c>
    </row>
    <row r="19">
      <c r="A19" t="inlineStr">
        <is>
          <t>Cenários pós-processamento (não rodar CFD)</t>
        </is>
      </c>
      <c r="B19" s="100" t="n">
        <v>2</v>
      </c>
      <c r="C19" t="inlineStr">
        <is>
          <t>casos</t>
        </is>
      </c>
      <c r="D19" t="inlineStr">
        <is>
          <t>k_app sensibilidade — calculado na Aba 9</t>
        </is>
      </c>
    </row>
    <row r="20">
      <c r="A20" t="inlineStr">
        <is>
          <t>TOTAL</t>
        </is>
      </c>
      <c r="B20" s="100" t="n">
        <v>10</v>
      </c>
      <c r="C20" t="inlineStr">
        <is>
          <t>casos</t>
        </is>
      </c>
      <c r="D20" t="inlineStr">
        <is>
          <t>Conforme tabela acima</t>
        </is>
      </c>
    </row>
    <row r="22">
      <c r="A22" s="102" t="inlineStr">
        <is>
          <t>ESTRATÉGIA DE EXECUÇÃO RECOMENDADA</t>
        </is>
      </c>
      <c r="B22" s="97" t="n"/>
      <c r="C22" s="97" t="n"/>
      <c r="D22" s="97" t="n"/>
      <c r="E22" s="97" t="n"/>
      <c r="F22" s="97" t="n"/>
      <c r="G22" s="98" t="n"/>
    </row>
    <row r="23" ht="110" customHeight="1">
      <c r="A23" s="101" t="inlineStr">
        <is>
          <t>1. Rodar C0 (caso base) até convergência hidrodinâmica steady-state
2. Continuar C0 como transiente até 1×TRH (24 h simulados)
3. Avaliar KPIs e validar contra planilha Vinícius
4. Se OK: rodar C1/C2/C3 em paralelo (sensibilidade geométrica)
5. Em série: M30/M60 e DQO_min/max (sensibilidade operacional)
6. Consolidação final: gerar tabela de KPI H₂/DQO e CH₄/DQO para todos os 10 cenários</t>
        </is>
      </c>
    </row>
  </sheetData>
  <mergeCells count="5">
    <mergeCell ref="B2:G2"/>
    <mergeCell ref="A22:G22"/>
    <mergeCell ref="B1:G1"/>
    <mergeCell ref="A16:G16"/>
    <mergeCell ref="A23:G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4" customWidth="1" min="4" max="4"/>
    <col width="38" customWidth="1" min="5" max="5"/>
  </cols>
  <sheetData>
    <row r="1">
      <c r="B1" s="94" t="inlineStr">
        <is>
          <t>FIORA IC — Planilha de Setup CFD/STAR-CCM+  |  v4.0</t>
        </is>
      </c>
    </row>
    <row r="2">
      <c r="B2" s="95" t="inlineStr">
        <is>
          <t>ABA 12 — VERIFICAÇÕES DE FOLGA CRÍTICAS DO CAD v5.11 (★ NOVA v4.0)</t>
        </is>
      </c>
    </row>
    <row r="4">
      <c r="A4" s="96" t="inlineStr">
        <is>
          <t>FOLGAS VERTICAIS</t>
        </is>
      </c>
      <c r="B4" s="97" t="n"/>
      <c r="C4" s="97" t="n"/>
      <c r="D4" s="97" t="n"/>
      <c r="E4" s="98" t="n"/>
    </row>
    <row r="5">
      <c r="A5" s="106" t="inlineStr">
        <is>
          <t>Par de Componentes</t>
        </is>
      </c>
      <c r="B5" s="106" t="inlineStr">
        <is>
          <t>Cota A [m]</t>
        </is>
      </c>
      <c r="C5" s="106" t="inlineStr">
        <is>
          <t>Cota B [m]</t>
        </is>
      </c>
      <c r="D5" s="106" t="inlineStr">
        <is>
          <t>Folga [mm]</t>
        </is>
      </c>
      <c r="E5" s="106" t="inlineStr">
        <is>
          <t>Status / Observação</t>
        </is>
      </c>
    </row>
    <row r="6">
      <c r="A6" s="108" t="inlineStr">
        <is>
          <t>Topo Eletrodos × Borda inferior Sep. 20%</t>
        </is>
      </c>
      <c r="B6" s="108" t="n">
        <v>2.65</v>
      </c>
      <c r="C6" s="108" t="n">
        <v>2.92</v>
      </c>
      <c r="D6" s="113" t="inlineStr">
        <is>
          <t>+270</t>
        </is>
      </c>
      <c r="E6" s="108" t="inlineStr">
        <is>
          <t>✅ Margem confortável — corrigido v5.10</t>
        </is>
      </c>
    </row>
    <row r="7">
      <c r="A7" s="108" t="inlineStr">
        <is>
          <t>Pico Sep. 95% × Saída Efluente Lateral</t>
        </is>
      </c>
      <c r="B7" s="108" t="n">
        <v>14.09</v>
      </c>
      <c r="C7" s="108" t="n">
        <v>14.3</v>
      </c>
      <c r="D7" s="113" t="inlineStr">
        <is>
          <t>+210</t>
        </is>
      </c>
      <c r="E7" s="108" t="inlineStr">
        <is>
          <t>✅ OK</t>
        </is>
      </c>
    </row>
    <row r="8">
      <c r="A8" s="108" t="inlineStr">
        <is>
          <t>Pico Sep. 95% × Topo do Cilindro</t>
        </is>
      </c>
      <c r="B8" s="108" t="n">
        <v>14.09</v>
      </c>
      <c r="C8" s="108" t="n">
        <v>14.339</v>
      </c>
      <c r="D8" s="113" t="inlineStr">
        <is>
          <t>+249</t>
        </is>
      </c>
      <c r="E8" s="108" t="inlineStr">
        <is>
          <t>✅ OK</t>
        </is>
      </c>
    </row>
    <row r="9">
      <c r="A9" s="108" t="inlineStr">
        <is>
          <t>Saída Efluente × Topo do Cilindro</t>
        </is>
      </c>
      <c r="B9" s="108" t="n">
        <v>14.3</v>
      </c>
      <c r="C9" s="108" t="n">
        <v>14.339</v>
      </c>
      <c r="D9" s="113" t="inlineStr">
        <is>
          <t>+39</t>
        </is>
      </c>
      <c r="E9" s="108" t="inlineStr">
        <is>
          <t>⚠ Pequena — Vinícius queria 'bem no topo'</t>
        </is>
      </c>
    </row>
    <row r="10">
      <c r="A10" s="108" t="inlineStr">
        <is>
          <t>Manifold × Topo dos Bocais</t>
        </is>
      </c>
      <c r="B10" s="108" t="n">
        <v>0.175</v>
      </c>
      <c r="C10" s="108" t="n">
        <v>0.232</v>
      </c>
      <c r="D10" s="113" t="inlineStr">
        <is>
          <t>+57</t>
        </is>
      </c>
      <c r="E10" s="108" t="inlineStr">
        <is>
          <t>✅ OK (verticalmente separados)</t>
        </is>
      </c>
    </row>
    <row r="11">
      <c r="A11" s="108" t="inlineStr">
        <is>
          <t>Topo Difusores × Manifold</t>
        </is>
      </c>
      <c r="B11" s="108" t="n">
        <v>0.025</v>
      </c>
      <c r="C11" s="108" t="n">
        <v>0.125</v>
      </c>
      <c r="D11" s="113" t="inlineStr">
        <is>
          <t>+100</t>
        </is>
      </c>
      <c r="E11" s="108" t="inlineStr">
        <is>
          <t>✅ OK</t>
        </is>
      </c>
    </row>
    <row r="12">
      <c r="A12" s="108" t="inlineStr">
        <is>
          <t>Topo Eletrodos × Pico Sep. 20%</t>
        </is>
      </c>
      <c r="B12" s="108" t="n">
        <v>2.65</v>
      </c>
      <c r="C12" s="108" t="n">
        <v>3.305</v>
      </c>
      <c r="D12" s="113" t="inlineStr">
        <is>
          <t>+655</t>
        </is>
      </c>
      <c r="E12" s="108" t="inlineStr">
        <is>
          <t>✅ Muito confortável</t>
        </is>
      </c>
    </row>
    <row r="14">
      <c r="A14" s="96" t="inlineStr">
        <is>
          <t>FOLGAS RADIAIS / AZIMUTAIS</t>
        </is>
      </c>
      <c r="B14" s="97" t="n"/>
      <c r="C14" s="97" t="n"/>
      <c r="D14" s="97" t="n"/>
      <c r="E14" s="98" t="n"/>
    </row>
    <row r="15">
      <c r="A15" s="106" t="inlineStr">
        <is>
          <t>Par de Componentes</t>
        </is>
      </c>
      <c r="B15" s="106" t="inlineStr">
        <is>
          <t>Posição A</t>
        </is>
      </c>
      <c r="C15" s="106" t="inlineStr">
        <is>
          <t>Posição B</t>
        </is>
      </c>
      <c r="D15" s="106" t="inlineStr">
        <is>
          <t>Folga [mm]</t>
        </is>
      </c>
      <c r="E15" s="106" t="inlineStr">
        <is>
          <t>Status / Observação</t>
        </is>
      </c>
    </row>
    <row r="16">
      <c r="A16" s="108" t="inlineStr">
        <is>
          <t>Ramal az=45° × Eletrodo az=0° (linha y=x)</t>
        </is>
      </c>
      <c r="B16" s="108" t="inlineStr">
        <is>
          <t>az 45°</t>
        </is>
      </c>
      <c r="C16" s="108" t="inlineStr">
        <is>
          <t>az 0°</t>
        </is>
      </c>
      <c r="D16" s="113" t="inlineStr">
        <is>
          <t>+297</t>
        </is>
      </c>
      <c r="E16" s="108" t="inlineStr">
        <is>
          <t>✅ Distância mínima em XY</t>
        </is>
      </c>
    </row>
    <row r="17">
      <c r="A17" s="108" t="inlineStr">
        <is>
          <t>Ramais × Parede do Reator (extremidade r=0,7m)</t>
        </is>
      </c>
      <c r="B17" s="108" t="inlineStr">
        <is>
          <t>r=0,7 m</t>
        </is>
      </c>
      <c r="C17" s="108" t="inlineStr">
        <is>
          <t>r=1,045 m</t>
        </is>
      </c>
      <c r="D17" s="113" t="inlineStr">
        <is>
          <t>+345</t>
        </is>
      </c>
      <c r="E17" s="108" t="inlineStr">
        <is>
          <t>✅ OK</t>
        </is>
      </c>
    </row>
    <row r="18">
      <c r="A18" s="108" t="inlineStr">
        <is>
          <t>Eletrodo r=0,68 (borda ext.) × Parede</t>
        </is>
      </c>
      <c r="B18" s="108" t="inlineStr">
        <is>
          <t>r=0,94 m</t>
        </is>
      </c>
      <c r="C18" s="108" t="inlineStr">
        <is>
          <t>r=1,045 m</t>
        </is>
      </c>
      <c r="D18" s="113" t="inlineStr">
        <is>
          <t>+105</t>
        </is>
      </c>
      <c r="E18" s="108" t="inlineStr">
        <is>
          <t>✅ OK (memorial v1.0)</t>
        </is>
      </c>
    </row>
    <row r="19">
      <c r="A19" s="108" t="inlineStr">
        <is>
          <t>Eletrodo r=0,68 (borda int.) × DN100 (r=0,05)</t>
        </is>
      </c>
      <c r="B19" s="108" t="inlineStr">
        <is>
          <t>r=0,42 m</t>
        </is>
      </c>
      <c r="C19" s="108" t="inlineStr">
        <is>
          <t>r=0,05 m</t>
        </is>
      </c>
      <c r="D19" s="113" t="inlineStr">
        <is>
          <t>+370</t>
        </is>
      </c>
      <c r="E19" s="108" t="inlineStr">
        <is>
          <t>✅ Muito OK</t>
        </is>
      </c>
    </row>
    <row r="20">
      <c r="A20" s="108" t="inlineStr">
        <is>
          <t>Difusor externo × Parede</t>
        </is>
      </c>
      <c r="B20" s="108" t="inlineStr">
        <is>
          <t>r=0,80 m</t>
        </is>
      </c>
      <c r="C20" s="108" t="inlineStr">
        <is>
          <t>r=1,045 m</t>
        </is>
      </c>
      <c r="D20" s="113" t="inlineStr">
        <is>
          <t>+245</t>
        </is>
      </c>
      <c r="E20" s="108" t="inlineStr">
        <is>
          <t>✅ OK</t>
        </is>
      </c>
    </row>
    <row r="21">
      <c r="A21" s="108" t="inlineStr">
        <is>
          <t>Difusor interno × DN100 central</t>
        </is>
      </c>
      <c r="B21" s="108" t="inlineStr">
        <is>
          <t>r=0,35 m</t>
        </is>
      </c>
      <c r="C21" s="108" t="inlineStr">
        <is>
          <t>r=0,05 m</t>
        </is>
      </c>
      <c r="D21" s="113" t="inlineStr">
        <is>
          <t>+300</t>
        </is>
      </c>
      <c r="E21" s="108" t="inlineStr">
        <is>
          <t>✅ OK</t>
        </is>
      </c>
    </row>
    <row r="22">
      <c r="A22" s="108" t="inlineStr">
        <is>
          <t>DN100 retorno (raio 50mm) × Λs centrais (vale)</t>
        </is>
      </c>
      <c r="B22" s="108" t="inlineStr">
        <is>
          <t>r=0,05 m</t>
        </is>
      </c>
      <c r="C22" s="108" t="inlineStr">
        <is>
          <t>vale entre Λs</t>
        </is>
      </c>
      <c r="D22" s="113" t="inlineStr">
        <is>
          <t>+102</t>
        </is>
      </c>
      <c r="E22" s="108" t="inlineStr">
        <is>
          <t>✅ Passa no vale entre Λs centrais</t>
        </is>
      </c>
    </row>
    <row r="24">
      <c r="A24" s="96" t="inlineStr">
        <is>
          <t>FOLGAS ANGULARES (Δθ)</t>
        </is>
      </c>
      <c r="B24" s="97" t="n"/>
      <c r="C24" s="97" t="n"/>
      <c r="D24" s="97" t="n"/>
      <c r="E24" s="98" t="n"/>
    </row>
    <row r="25">
      <c r="A25" s="106" t="inlineStr">
        <is>
          <t>Par de Componentes</t>
        </is>
      </c>
      <c r="B25" s="106" t="inlineStr">
        <is>
          <t>Az A [°]</t>
        </is>
      </c>
      <c r="C25" s="106" t="inlineStr">
        <is>
          <t>Az B [°]</t>
        </is>
      </c>
      <c r="D25" s="106" t="inlineStr">
        <is>
          <t>Δθ [°]</t>
        </is>
      </c>
      <c r="E25" s="106" t="inlineStr">
        <is>
          <t>Status / Observação</t>
        </is>
      </c>
    </row>
    <row r="26">
      <c r="A26" s="108" t="inlineStr">
        <is>
          <t>Ramais × Eletrodos</t>
        </is>
      </c>
      <c r="B26" s="108" t="inlineStr">
        <is>
          <t>45/135/225/315</t>
        </is>
      </c>
      <c r="C26" s="108" t="inlineStr">
        <is>
          <t>0/180</t>
        </is>
      </c>
      <c r="D26" s="108" t="inlineStr">
        <is>
          <t>45°</t>
        </is>
      </c>
      <c r="E26" s="108" t="inlineStr">
        <is>
          <t>✅ Mínima Δθ = 45°</t>
        </is>
      </c>
    </row>
    <row r="27">
      <c r="A27" s="108" t="inlineStr">
        <is>
          <t>Ramais × Bocais</t>
        </is>
      </c>
      <c r="B27" s="108" t="inlineStr">
        <is>
          <t>45/135/225/315</t>
        </is>
      </c>
      <c r="C27" s="108" t="inlineStr">
        <is>
          <t>0/60/120/180/...</t>
        </is>
      </c>
      <c r="D27" s="108" t="inlineStr">
        <is>
          <t>15°</t>
        </is>
      </c>
      <c r="E27" s="108" t="inlineStr">
        <is>
          <t>✅ Mínima Δθ = 15°</t>
        </is>
      </c>
    </row>
    <row r="28">
      <c r="A28" s="108" t="inlineStr">
        <is>
          <t>Ramais × Difusores (setores)</t>
        </is>
      </c>
      <c r="B28" s="108" t="inlineStr">
        <is>
          <t>45/135/225/315</t>
        </is>
      </c>
      <c r="C28" s="108" t="inlineStr">
        <is>
          <t>30/90/150/210/270/330</t>
        </is>
      </c>
      <c r="D28" s="108" t="inlineStr">
        <is>
          <t>15°</t>
        </is>
      </c>
      <c r="E28" s="108" t="inlineStr">
        <is>
          <t>✅ Mínima Δθ = 15°</t>
        </is>
      </c>
    </row>
    <row r="29">
      <c r="A29" s="108" t="inlineStr">
        <is>
          <t>Bocais × Eletrodos</t>
        </is>
      </c>
      <c r="B29" s="108" t="inlineStr">
        <is>
          <t>0/60/120/180/...</t>
        </is>
      </c>
      <c r="C29" s="108" t="inlineStr">
        <is>
          <t>0/180</t>
        </is>
      </c>
      <c r="D29" s="108" t="inlineStr">
        <is>
          <t>0°</t>
        </is>
      </c>
      <c r="E29" s="108" t="inlineStr">
        <is>
          <t>✅ Sobreposição mas em z diferentes</t>
        </is>
      </c>
    </row>
    <row r="30">
      <c r="A30" s="108" t="inlineStr">
        <is>
          <t>Difusores × Bocais</t>
        </is>
      </c>
      <c r="B30" s="108" t="inlineStr">
        <is>
          <t>30/90/150/...</t>
        </is>
      </c>
      <c r="C30" s="108" t="inlineStr">
        <is>
          <t>0/60/120/...</t>
        </is>
      </c>
      <c r="D30" s="108" t="inlineStr">
        <is>
          <t>30°</t>
        </is>
      </c>
      <c r="E30" s="108" t="inlineStr">
        <is>
          <t>✅ Difusores ENTRE bocais</t>
        </is>
      </c>
    </row>
    <row r="33">
      <c r="A33" s="102" t="inlineStr">
        <is>
          <t>AÇÃO RECOMENDADA</t>
        </is>
      </c>
      <c r="B33" s="97" t="n"/>
      <c r="C33" s="97" t="n"/>
      <c r="D33" s="97" t="n"/>
      <c r="E33" s="98" t="n"/>
    </row>
    <row r="34" ht="130" customHeight="1">
      <c r="A34" s="101" t="inlineStr">
        <is>
          <t>Antes de cada geração de geometria (v5.x → v5.x+1), executar o script
FIORA_IC_geometry_v5_11.py — ele chama _check_clearances() automaticamente
no início e levanta AssertionError se alguma folga vertical ficar &lt; 50 mm.
Bug histórico detectado (v5.9 → v5.10): cota nominal do separador era
interpretada como pico do Λ, mas as placas inclinadas desciam 385 mm
abaixo do pico, criando sobreposição com o topo dos eletrodos. Corrigido
na v5.10 interpretando pct × H como BORDA INFERIOR das placas externas.</t>
        </is>
      </c>
    </row>
  </sheetData>
  <mergeCells count="7">
    <mergeCell ref="A34:E34"/>
    <mergeCell ref="A4:E4"/>
    <mergeCell ref="B1:E1"/>
    <mergeCell ref="A24:E24"/>
    <mergeCell ref="A33:E33"/>
    <mergeCell ref="B2:E2"/>
    <mergeCell ref="A14:E1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49" customWidth="1" min="4" max="4"/>
  </cols>
  <sheetData>
    <row r="1">
      <c r="B1" s="94" t="inlineStr">
        <is>
          <t>FIORA IC — Planilha de Setup CFD/STAR-CCM+  |  v4.0</t>
        </is>
      </c>
    </row>
    <row r="2">
      <c r="B2" s="95" t="inlineStr">
        <is>
          <t>ABA 13 — MANIFOLD DE 4 RAMAIS DN50 (★ NOVA v4.0)</t>
        </is>
      </c>
    </row>
    <row r="4">
      <c r="A4" s="96" t="inlineStr">
        <is>
          <t>PARÂMETROS GEOMÉTRICOS — TUBO PRINCIPAL DN100</t>
        </is>
      </c>
      <c r="B4" s="97" t="n"/>
      <c r="C4" s="97" t="n"/>
      <c r="D4" s="98" t="n"/>
    </row>
    <row r="5">
      <c r="A5" t="inlineStr">
        <is>
          <t>Diâmetro nominal</t>
        </is>
      </c>
      <c r="B5" s="100" t="n">
        <v>0.1</v>
      </c>
      <c r="C5" t="inlineStr">
        <is>
          <t>m</t>
        </is>
      </c>
      <c r="D5" t="inlineStr">
        <is>
          <t>DN100 — Vinícius</t>
        </is>
      </c>
    </row>
    <row r="6">
      <c r="A6" t="inlineStr">
        <is>
          <t>Espessura de parede</t>
        </is>
      </c>
      <c r="B6" s="100" t="n">
        <v>0.004</v>
      </c>
      <c r="C6" t="inlineStr">
        <is>
          <t>m</t>
        </is>
      </c>
      <c r="D6" t="inlineStr">
        <is>
          <t>4 mm — padrão DN100</t>
        </is>
      </c>
    </row>
    <row r="7">
      <c r="A7" t="inlineStr">
        <is>
          <t>Diâmetro interno</t>
        </is>
      </c>
      <c r="B7" s="100">
        <f>B5-2*B6</f>
        <v/>
      </c>
      <c r="C7" t="inlineStr">
        <is>
          <t>m</t>
        </is>
      </c>
      <c r="D7">
        <f> 92 mm</f>
        <v/>
      </c>
    </row>
    <row r="8">
      <c r="A8" t="inlineStr">
        <is>
          <t>Cota inferior (manifold)</t>
        </is>
      </c>
      <c r="B8" s="99" t="n">
        <v>0.15</v>
      </c>
      <c r="C8" t="inlineStr">
        <is>
          <t>m</t>
        </is>
      </c>
      <c r="D8" t="inlineStr">
        <is>
          <t>★ Vinícius 18/05 17:06: 'Até 15 cm do fundo'</t>
        </is>
      </c>
    </row>
    <row r="9">
      <c r="A9" t="inlineStr">
        <is>
          <t>Cota superior (próximo ao domo)</t>
        </is>
      </c>
      <c r="B9" s="100" t="n">
        <v>14.29</v>
      </c>
      <c r="C9" t="inlineStr">
        <is>
          <t>m</t>
        </is>
      </c>
      <c r="D9">
        <f> H − TOP_DEPTH − 0,05</f>
        <v/>
      </c>
    </row>
    <row r="10">
      <c r="A10" t="inlineStr">
        <is>
          <t>Comprimento do tubo principal</t>
        </is>
      </c>
      <c r="B10" s="100">
        <f>B9-B8</f>
        <v/>
      </c>
      <c r="C10" t="inlineStr">
        <is>
          <t>m</t>
        </is>
      </c>
      <c r="D10">
        <f> 14,14 m</f>
        <v/>
      </c>
    </row>
    <row r="12">
      <c r="A12" s="96" t="inlineStr">
        <is>
          <t>PARÂMETROS GEOMÉTRICOS — 4 RAMAIS DN50</t>
        </is>
      </c>
      <c r="B12" s="97" t="n"/>
      <c r="C12" s="97" t="n"/>
      <c r="D12" s="98" t="n"/>
    </row>
    <row r="13">
      <c r="A13" t="inlineStr">
        <is>
          <t>Diâmetro nominal de cada ramal</t>
        </is>
      </c>
      <c r="B13" s="99" t="n">
        <v>0.05</v>
      </c>
      <c r="C13" t="inlineStr">
        <is>
          <t>m</t>
        </is>
      </c>
      <c r="D13" t="inlineStr">
        <is>
          <t>★ Vinícius 18/05 17:06: DN50 confirmado</t>
        </is>
      </c>
    </row>
    <row r="14">
      <c r="A14" t="inlineStr">
        <is>
          <t>Espessura de parede</t>
        </is>
      </c>
      <c r="B14" s="100" t="n">
        <v>0.004</v>
      </c>
      <c r="C14" t="inlineStr">
        <is>
          <t>m</t>
        </is>
      </c>
      <c r="D14" t="inlineStr">
        <is>
          <t>4 mm</t>
        </is>
      </c>
    </row>
    <row r="15">
      <c r="A15" t="inlineStr">
        <is>
          <t>Comprimento de cada ramal</t>
        </is>
      </c>
      <c r="B15" s="99" t="n">
        <v>0.7</v>
      </c>
      <c r="C15" t="inlineStr">
        <is>
          <t>m</t>
        </is>
      </c>
      <c r="D15" t="inlineStr">
        <is>
          <t>Vinícius: 'pode manter como propôs'</t>
        </is>
      </c>
    </row>
    <row r="16">
      <c r="A16" t="inlineStr">
        <is>
          <t>Cota dos ramais (= manifold)</t>
        </is>
      </c>
      <c r="B16" s="100">
        <f>B8</f>
        <v/>
      </c>
      <c r="C16" t="inlineStr">
        <is>
          <t>m</t>
        </is>
      </c>
      <c r="D16" t="inlineStr">
        <is>
          <t>Mesma cota do manifold</t>
        </is>
      </c>
    </row>
    <row r="17">
      <c r="A17" t="inlineStr">
        <is>
          <t>Azimutes dos 4 ramais</t>
        </is>
      </c>
      <c r="B17" s="99" t="inlineStr">
        <is>
          <t>45° / 135° / 225° / 315°</t>
        </is>
      </c>
      <c r="C17" t="inlineStr">
        <is>
          <t>—</t>
        </is>
      </c>
      <c r="D17" t="inlineStr">
        <is>
          <t>Entre bocais, fora dos eletrodos</t>
        </is>
      </c>
    </row>
    <row r="18">
      <c r="A18" t="inlineStr">
        <is>
          <t>Posição final do ramal (x,y) — az 45°</t>
        </is>
      </c>
      <c r="B18" s="100" t="inlineStr">
        <is>
          <t>(+0,495; +0,495)</t>
        </is>
      </c>
      <c r="C18" t="inlineStr">
        <is>
          <t>m</t>
        </is>
      </c>
      <c r="D18">
        <f> 0,7 × cos/sin(45°)</f>
        <v/>
      </c>
    </row>
    <row r="19">
      <c r="A19" t="inlineStr">
        <is>
          <t>Folga radial à parede</t>
        </is>
      </c>
      <c r="B19" s="100">
        <f>1.045-0.70</f>
        <v/>
      </c>
      <c r="C19" t="inlineStr">
        <is>
          <t>m</t>
        </is>
      </c>
      <c r="D19">
        <f> R_reator − 0,7 = 0,345 m</f>
        <v/>
      </c>
    </row>
    <row r="20">
      <c r="A20" t="inlineStr">
        <is>
          <t>Final dos ramais</t>
        </is>
      </c>
      <c r="B20" s="100" t="inlineStr">
        <is>
          <t>Aberto (descarga livre)</t>
        </is>
      </c>
      <c r="C20" t="inlineStr">
        <is>
          <t>—</t>
        </is>
      </c>
      <c r="D20" t="inlineStr">
        <is>
          <t>Vinícius: 'pode manter como propôs'</t>
        </is>
      </c>
    </row>
    <row r="22">
      <c r="A22" s="104" t="inlineStr">
        <is>
          <t>CONSERVAÇÃO DE ÁREA HIDRÁULICA</t>
        </is>
      </c>
      <c r="B22" s="97" t="n"/>
      <c r="C22" s="97" t="n"/>
      <c r="D22" s="98" t="n"/>
    </row>
    <row r="23">
      <c r="A23" t="inlineStr">
        <is>
          <t>Área da seção do tubo principal (DN100)</t>
        </is>
      </c>
      <c r="B23" s="100">
        <f>PI()*(B5/2)^2</f>
        <v/>
      </c>
      <c r="C23" t="inlineStr">
        <is>
          <t>m²</t>
        </is>
      </c>
      <c r="D23">
        <f> 7,854 ×10⁻³ m²</f>
        <v/>
      </c>
    </row>
    <row r="24">
      <c r="A24" t="inlineStr">
        <is>
          <t>Área de cada ramal (DN50)</t>
        </is>
      </c>
      <c r="B24" s="100">
        <f>PI()*(B13/2)^2</f>
        <v/>
      </c>
      <c r="C24" t="inlineStr">
        <is>
          <t>m²</t>
        </is>
      </c>
      <c r="D24">
        <f> 1,963 ×10⁻³ m²</f>
        <v/>
      </c>
    </row>
    <row r="25">
      <c r="A25" t="inlineStr">
        <is>
          <t>Área total dos 4 ramais</t>
        </is>
      </c>
      <c r="B25" s="100">
        <f>4*B24</f>
        <v/>
      </c>
      <c r="C25" t="inlineStr">
        <is>
          <t>m²</t>
        </is>
      </c>
      <c r="D25">
        <f> 7,854 ×10⁻³ m²</f>
        <v/>
      </c>
    </row>
    <row r="26">
      <c r="A26" t="inlineStr">
        <is>
          <t>★ Razão Área_4ramais / Área_DN100</t>
        </is>
      </c>
      <c r="B26" s="111">
        <f>B25/B23</f>
        <v/>
      </c>
      <c r="C26" t="inlineStr">
        <is>
          <t>—</t>
        </is>
      </c>
      <c r="D26">
        <f> 1,000 ✓ Conservação OK</f>
        <v/>
      </c>
    </row>
    <row r="28">
      <c r="A28" s="102" t="inlineStr">
        <is>
          <t>BC NO STAR-CCM+</t>
        </is>
      </c>
      <c r="B28" s="97" t="n"/>
      <c r="C28" s="97" t="n"/>
      <c r="D28" s="98" t="n"/>
    </row>
    <row r="29" ht="175" customHeight="1">
      <c r="A29" s="101" t="inlineStr">
        <is>
          <t>1. Toda a estrutura (tubo principal + 4 ramais) é UM ÚNICO baffle
   No-slip Wall no STAR-CCM+ (separa fluxo interno descendente do externo ascendente).
2. APENAS a face SUPERIOR do tubo principal é Velocity Inlet:
   • Q = 350 m³/d (recirculação líquida)
   • Direção: −Z (descendente)
   • Temperatura: 35°C
   • Fase: líquida
3. Os 4 ramais descarregam LIVREMENTE no domínio (extremidades abertas).
   No CFD, basta o sólido baffle ter aberturas nas extremidades.</t>
        </is>
      </c>
    </row>
  </sheetData>
  <mergeCells count="7">
    <mergeCell ref="A22:D22"/>
    <mergeCell ref="A12:D12"/>
    <mergeCell ref="B1:D1"/>
    <mergeCell ref="A4:D4"/>
    <mergeCell ref="A29:D29"/>
    <mergeCell ref="A28:D28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2026-05-14T20:25:19Z</dcterms:created>
  <dcterms:modified xsi:type="dcterms:W3CDTF">2026-05-18T22:29:44Z</dcterms:modified>
  <cp:lastModifiedBy>Gabriel Rozo</cp:lastModifiedBy>
  <cp:revision>0</cp:revision>
</cp:coreProperties>
</file>